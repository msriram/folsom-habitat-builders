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xml" ContentType="application/vnd.openxmlformats-officedocument.drawing+xml"/>
  <Override PartName="/xl/ctrlProps/ctrlProp1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autoCompressPictures="0"/>
  <mc:AlternateContent xmlns:mc="http://schemas.openxmlformats.org/markup-compatibility/2006">
    <mc:Choice Requires="x15">
      <x15ac:absPath xmlns:x15ac="http://schemas.microsoft.com/office/spreadsheetml/2010/11/ac" url="https://usfirst-my.sharepoint.com/personal/mgrenier_firstinspires_org/Documents/Microsoft Teams Chat Files/"/>
    </mc:Choice>
  </mc:AlternateContent>
  <xr:revisionPtr revIDLastSave="15" documentId="8_{6E52FDB5-5F9A-4B4B-AF87-BCE238E9336D}" xr6:coauthVersionLast="47" xr6:coauthVersionMax="47" xr10:uidLastSave="{17A2CFE7-D0A2-4B53-B068-F3E8C16D1A6B}"/>
  <bookViews>
    <workbookView xWindow="-108" yWindow="-108" windowWidth="23256" windowHeight="12456" tabRatio="847" activeTab="4" xr2:uid="{00000000-000D-0000-FFFF-FFFF00000000}"/>
  </bookViews>
  <sheets>
    <sheet name="Instructions" sheetId="1" r:id="rId1"/>
    <sheet name="Team Data" sheetId="2" r:id="rId2"/>
    <sheet name="Scoring Worksheet" sheetId="36" r:id="rId3"/>
    <sheet name="Score Entry And Standings" sheetId="3" r:id="rId4"/>
    <sheet name="Ref Scoresheet" sheetId="37" r:id="rId5"/>
    <sheet name="Module1" sheetId="17" state="veryHidden" r:id=""/>
    <sheet name="Module2" sheetId="18" state="veryHidden" r:id=""/>
    <sheet name="Module3" sheetId="19" state="veryHidden" r:id=""/>
    <sheet name="Module4" sheetId="20" state="veryHidden" r:id=""/>
    <sheet name="Module5" sheetId="21" state="veryHidden" r:id=""/>
    <sheet name="Module6" sheetId="22" state="veryHidden" r:id=""/>
    <sheet name="Module7" sheetId="23" state="veryHidden" r:id=""/>
    <sheet name="Module8" sheetId="24" state="veryHidden" r:id=""/>
    <sheet name="Module9" sheetId="25" state="veryHidden" r:id=""/>
    <sheet name="Module10" sheetId="26" state="veryHidden" r:id=""/>
    <sheet name="Module11" sheetId="27" state="veryHidden" r:id=""/>
    <sheet name="Module12" sheetId="28" state="veryHidden" r:id=""/>
    <sheet name="Module13" sheetId="29" state="veryHidden" r:id=""/>
    <sheet name="Module14" sheetId="30" state="veryHidden" r:id=""/>
    <sheet name="Module15" sheetId="31" state="veryHidden" r:id=""/>
  </sheets>
  <definedNames>
    <definedName name="_xlnm._FilterDatabase" localSheetId="3" hidden="1">'Score Entry And Standings'!$AB$2:$AC$407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3" i="36" l="1"/>
  <c r="H30" i="36"/>
  <c r="E30" i="36" s="1"/>
  <c r="H31" i="36"/>
  <c r="E31" i="36" s="1"/>
  <c r="H32" i="36"/>
  <c r="E32" i="36" s="1"/>
  <c r="H29" i="36"/>
  <c r="H28" i="36"/>
  <c r="E28" i="36" s="1"/>
  <c r="H24" i="36"/>
  <c r="H22" i="36"/>
  <c r="H20" i="36"/>
  <c r="H19" i="36"/>
  <c r="E20" i="36"/>
  <c r="H18" i="36"/>
  <c r="H17" i="36"/>
  <c r="E17" i="36" s="1"/>
  <c r="H16" i="36"/>
  <c r="E14" i="36"/>
  <c r="H15" i="36"/>
  <c r="H13" i="36"/>
  <c r="H12" i="36"/>
  <c r="H10" i="36"/>
  <c r="E11" i="36"/>
  <c r="H8" i="36"/>
  <c r="H6" i="36"/>
  <c r="H5" i="36"/>
  <c r="D13" i="2"/>
  <c r="T10" i="3"/>
  <c r="E33" i="36" l="1"/>
  <c r="E29" i="36"/>
  <c r="H27" i="36"/>
  <c r="E27" i="36" s="1"/>
  <c r="H26" i="36"/>
  <c r="E26" i="36" s="1"/>
  <c r="H25" i="36"/>
  <c r="E25" i="36" s="1"/>
  <c r="E24" i="36"/>
  <c r="H23" i="36"/>
  <c r="E23" i="36" s="1"/>
  <c r="E22" i="36"/>
  <c r="H21" i="36"/>
  <c r="E19" i="36"/>
  <c r="E18" i="36"/>
  <c r="E16" i="36"/>
  <c r="E15" i="36"/>
  <c r="E13" i="36"/>
  <c r="E10" i="36"/>
  <c r="H9" i="36"/>
  <c r="E9" i="36" s="1"/>
  <c r="E8" i="36"/>
  <c r="H7" i="36"/>
  <c r="E7" i="36" s="1"/>
  <c r="E6" i="36"/>
  <c r="H4" i="36"/>
  <c r="E4" i="36" s="1"/>
  <c r="E5" i="36"/>
  <c r="H34" i="36"/>
  <c r="E34" i="36" s="1"/>
  <c r="S245" i="3"/>
  <c r="R245" i="3"/>
  <c r="S244" i="3"/>
  <c r="V21" i="3" s="1"/>
  <c r="R244" i="3"/>
  <c r="S243" i="3"/>
  <c r="U21" i="3" s="1"/>
  <c r="R243" i="3"/>
  <c r="S242" i="3"/>
  <c r="R242" i="3"/>
  <c r="S241" i="3"/>
  <c r="R241" i="3"/>
  <c r="S240" i="3"/>
  <c r="R240" i="3"/>
  <c r="S239" i="3"/>
  <c r="R239" i="3"/>
  <c r="S238" i="3"/>
  <c r="V32" i="3" s="1"/>
  <c r="R238" i="3"/>
  <c r="S237" i="3"/>
  <c r="U32" i="3" s="1"/>
  <c r="R237" i="3"/>
  <c r="S236" i="3"/>
  <c r="W44" i="3" s="1"/>
  <c r="R236" i="3"/>
  <c r="S235" i="3"/>
  <c r="V44" i="3" s="1"/>
  <c r="R235" i="3"/>
  <c r="S234" i="3"/>
  <c r="R234" i="3"/>
  <c r="S233" i="3"/>
  <c r="R233" i="3"/>
  <c r="S232" i="3"/>
  <c r="V40" i="3" s="1"/>
  <c r="R232" i="3"/>
  <c r="S231" i="3"/>
  <c r="U40" i="3" s="1"/>
  <c r="R231" i="3"/>
  <c r="S230" i="3"/>
  <c r="R230" i="3"/>
  <c r="S229" i="3"/>
  <c r="R229" i="3"/>
  <c r="S228" i="3"/>
  <c r="R228" i="3"/>
  <c r="S227" i="3"/>
  <c r="R227" i="3"/>
  <c r="S226" i="3"/>
  <c r="V39" i="3" s="1"/>
  <c r="R226" i="3"/>
  <c r="S225" i="3"/>
  <c r="R225" i="3"/>
  <c r="S224" i="3"/>
  <c r="R224" i="3"/>
  <c r="S223" i="3"/>
  <c r="R223" i="3"/>
  <c r="S222" i="3"/>
  <c r="R222" i="3"/>
  <c r="S221" i="3"/>
  <c r="R221" i="3"/>
  <c r="S220" i="3"/>
  <c r="V24" i="3" s="1"/>
  <c r="R220" i="3"/>
  <c r="S219" i="3"/>
  <c r="U24" i="3" s="1"/>
  <c r="R219" i="3"/>
  <c r="S218" i="3"/>
  <c r="R218" i="3"/>
  <c r="S217" i="3"/>
  <c r="R217" i="3"/>
  <c r="S216" i="3"/>
  <c r="R216" i="3"/>
  <c r="S215" i="3"/>
  <c r="W31" i="3" s="1"/>
  <c r="R215" i="3"/>
  <c r="S214" i="3"/>
  <c r="V31" i="3" s="1"/>
  <c r="R214" i="3"/>
  <c r="S213" i="3"/>
  <c r="U31" i="3" s="1"/>
  <c r="R213" i="3"/>
  <c r="S212" i="3"/>
  <c r="W25" i="3" s="1"/>
  <c r="R212" i="3"/>
  <c r="S211" i="3"/>
  <c r="R211" i="3"/>
  <c r="S210" i="3"/>
  <c r="R210" i="3"/>
  <c r="S209" i="3"/>
  <c r="W35" i="3" s="1"/>
  <c r="R209" i="3"/>
  <c r="S208" i="3"/>
  <c r="V35" i="3" s="1"/>
  <c r="R208" i="3"/>
  <c r="S207" i="3"/>
  <c r="R207" i="3"/>
  <c r="S206" i="3"/>
  <c r="R206" i="3"/>
  <c r="S205" i="3"/>
  <c r="R205" i="3"/>
  <c r="S204" i="3"/>
  <c r="R204" i="3"/>
  <c r="S203" i="3"/>
  <c r="W23" i="3" s="1"/>
  <c r="R203" i="3"/>
  <c r="S202" i="3"/>
  <c r="V23" i="3" s="1"/>
  <c r="R202" i="3"/>
  <c r="S201" i="3"/>
  <c r="R201" i="3"/>
  <c r="S200" i="3"/>
  <c r="W27" i="3" s="1"/>
  <c r="R200" i="3"/>
  <c r="S199" i="3"/>
  <c r="R199" i="3"/>
  <c r="S198" i="3"/>
  <c r="R198" i="3"/>
  <c r="S197" i="3"/>
  <c r="R197" i="3"/>
  <c r="S196" i="3"/>
  <c r="V37" i="3" s="1"/>
  <c r="R196" i="3"/>
  <c r="S195" i="3"/>
  <c r="U37" i="3" s="1"/>
  <c r="R195" i="3"/>
  <c r="S194" i="3"/>
  <c r="W19" i="3" s="1"/>
  <c r="R194" i="3"/>
  <c r="S193" i="3"/>
  <c r="V19" i="3" s="1"/>
  <c r="R193" i="3"/>
  <c r="S192" i="3"/>
  <c r="R192" i="3"/>
  <c r="S191" i="3"/>
  <c r="R191" i="3"/>
  <c r="S190" i="3"/>
  <c r="V22" i="3" s="1"/>
  <c r="R190" i="3"/>
  <c r="S189" i="3"/>
  <c r="R189" i="3"/>
  <c r="S188" i="3"/>
  <c r="R188" i="3"/>
  <c r="S187" i="3"/>
  <c r="R187" i="3"/>
  <c r="S186" i="3"/>
  <c r="R186" i="3"/>
  <c r="S185" i="3"/>
  <c r="R185" i="3"/>
  <c r="S184" i="3"/>
  <c r="V30" i="3" s="1"/>
  <c r="R184" i="3"/>
  <c r="S183" i="3"/>
  <c r="R183" i="3"/>
  <c r="S182" i="3"/>
  <c r="R182" i="3"/>
  <c r="S181" i="3"/>
  <c r="R181" i="3"/>
  <c r="S180" i="3"/>
  <c r="R180" i="3"/>
  <c r="S179" i="3"/>
  <c r="R179" i="3"/>
  <c r="S178" i="3"/>
  <c r="V29" i="3" s="1"/>
  <c r="R178" i="3"/>
  <c r="S177" i="3"/>
  <c r="R177" i="3"/>
  <c r="S176" i="3"/>
  <c r="R176" i="3"/>
  <c r="S175" i="3"/>
  <c r="R175" i="3"/>
  <c r="S174" i="3"/>
  <c r="R174" i="3"/>
  <c r="S173" i="3"/>
  <c r="R173" i="3"/>
  <c r="S172" i="3"/>
  <c r="V43" i="3" s="1"/>
  <c r="R172" i="3"/>
  <c r="S171" i="3"/>
  <c r="R171" i="3"/>
  <c r="S170" i="3"/>
  <c r="W33" i="3" s="1"/>
  <c r="R170" i="3"/>
  <c r="S169" i="3"/>
  <c r="V33" i="3" s="1"/>
  <c r="R169" i="3"/>
  <c r="S168" i="3"/>
  <c r="R168" i="3"/>
  <c r="S167" i="3"/>
  <c r="R167" i="3"/>
  <c r="S166" i="3"/>
  <c r="V45" i="3" s="1"/>
  <c r="R166" i="3"/>
  <c r="S165" i="3"/>
  <c r="U45" i="3" s="1"/>
  <c r="R165" i="3"/>
  <c r="S164" i="3"/>
  <c r="W20" i="3" s="1"/>
  <c r="R164" i="3"/>
  <c r="S163" i="3"/>
  <c r="R163" i="3"/>
  <c r="S162" i="3"/>
  <c r="R162" i="3"/>
  <c r="S161" i="3"/>
  <c r="R161" i="3"/>
  <c r="S160" i="3"/>
  <c r="V83" i="3" s="1"/>
  <c r="R160" i="3"/>
  <c r="S159" i="3"/>
  <c r="R159" i="3"/>
  <c r="S158" i="3"/>
  <c r="W84" i="3" s="1"/>
  <c r="R158" i="3"/>
  <c r="S157" i="3"/>
  <c r="R157" i="3"/>
  <c r="S156" i="3"/>
  <c r="R156" i="3"/>
  <c r="S155" i="3"/>
  <c r="R155" i="3"/>
  <c r="S154" i="3"/>
  <c r="V68" i="3" s="1"/>
  <c r="R154" i="3"/>
  <c r="S153" i="3"/>
  <c r="R153" i="3"/>
  <c r="S152" i="3"/>
  <c r="R152" i="3"/>
  <c r="S151" i="3"/>
  <c r="R151" i="3"/>
  <c r="S150" i="3"/>
  <c r="R150" i="3"/>
  <c r="S149" i="3"/>
  <c r="W80" i="3" s="1"/>
  <c r="R149" i="3"/>
  <c r="S148" i="3"/>
  <c r="V80" i="3" s="1"/>
  <c r="R148" i="3"/>
  <c r="S147" i="3"/>
  <c r="U80" i="3" s="1"/>
  <c r="R147" i="3"/>
  <c r="S146" i="3"/>
  <c r="W72" i="3" s="1"/>
  <c r="R146" i="3"/>
  <c r="S145" i="3"/>
  <c r="R145" i="3"/>
  <c r="S144" i="3"/>
  <c r="R144" i="3"/>
  <c r="S143" i="3"/>
  <c r="W79" i="3" s="1"/>
  <c r="R143" i="3"/>
  <c r="S142" i="3"/>
  <c r="V79" i="3" s="1"/>
  <c r="R142" i="3"/>
  <c r="S141" i="3"/>
  <c r="U79" i="3" s="1"/>
  <c r="R141" i="3"/>
  <c r="S140" i="3"/>
  <c r="W82" i="3" s="1"/>
  <c r="R140" i="3"/>
  <c r="S139" i="3"/>
  <c r="R139" i="3"/>
  <c r="S138" i="3"/>
  <c r="R138" i="3"/>
  <c r="S137" i="3"/>
  <c r="R137" i="3"/>
  <c r="S136" i="3"/>
  <c r="V81" i="3" s="1"/>
  <c r="R136" i="3"/>
  <c r="S135" i="3"/>
  <c r="R135" i="3"/>
  <c r="S134" i="3"/>
  <c r="W85" i="3" s="1"/>
  <c r="R134" i="3"/>
  <c r="S133" i="3"/>
  <c r="V85" i="3" s="1"/>
  <c r="R133" i="3"/>
  <c r="S132" i="3"/>
  <c r="U85" i="3" s="1"/>
  <c r="R132" i="3"/>
  <c r="S131" i="3"/>
  <c r="R131" i="3"/>
  <c r="S130" i="3"/>
  <c r="V76" i="3" s="1"/>
  <c r="R130" i="3"/>
  <c r="S129" i="3"/>
  <c r="U76" i="3" s="1"/>
  <c r="R129" i="3"/>
  <c r="S128" i="3"/>
  <c r="W77" i="3" s="1"/>
  <c r="R128" i="3"/>
  <c r="S127" i="3"/>
  <c r="V77" i="3" s="1"/>
  <c r="R127" i="3"/>
  <c r="S126" i="3"/>
  <c r="R126" i="3"/>
  <c r="S125" i="3"/>
  <c r="R125" i="3"/>
  <c r="S124" i="3"/>
  <c r="V73" i="3" s="1"/>
  <c r="R124" i="3"/>
  <c r="S123" i="3"/>
  <c r="U73" i="3" s="1"/>
  <c r="R123" i="3"/>
  <c r="S122" i="3"/>
  <c r="R122" i="3"/>
  <c r="S121" i="3"/>
  <c r="V63" i="3" s="1"/>
  <c r="R121" i="3"/>
  <c r="S120" i="3"/>
  <c r="R120" i="3"/>
  <c r="S119" i="3"/>
  <c r="R119" i="3"/>
  <c r="S118" i="3"/>
  <c r="R118" i="3"/>
  <c r="S117" i="3"/>
  <c r="U65" i="3" s="1"/>
  <c r="R117" i="3"/>
  <c r="S116" i="3"/>
  <c r="W75" i="3" s="1"/>
  <c r="R116" i="3"/>
  <c r="S115" i="3"/>
  <c r="R115" i="3"/>
  <c r="S114" i="3"/>
  <c r="R114" i="3"/>
  <c r="S113" i="3"/>
  <c r="R113" i="3"/>
  <c r="S112" i="3"/>
  <c r="R112" i="3"/>
  <c r="S111" i="3"/>
  <c r="U71" i="3" s="1"/>
  <c r="R111" i="3"/>
  <c r="S110" i="3"/>
  <c r="W78" i="3" s="1"/>
  <c r="R110" i="3"/>
  <c r="S109" i="3"/>
  <c r="V78" i="3" s="1"/>
  <c r="R109" i="3"/>
  <c r="S108" i="3"/>
  <c r="R108" i="3"/>
  <c r="S107" i="3"/>
  <c r="R107" i="3"/>
  <c r="S106" i="3"/>
  <c r="V64" i="3" s="1"/>
  <c r="R106" i="3"/>
  <c r="S105" i="3"/>
  <c r="U64" i="3" s="1"/>
  <c r="R105" i="3"/>
  <c r="S104" i="3"/>
  <c r="W62" i="3" s="1"/>
  <c r="R104" i="3"/>
  <c r="S103" i="3"/>
  <c r="R103" i="3"/>
  <c r="S102" i="3"/>
  <c r="R102" i="3"/>
  <c r="S101" i="3"/>
  <c r="R101" i="3"/>
  <c r="S100" i="3"/>
  <c r="V67" i="3" s="1"/>
  <c r="R100" i="3"/>
  <c r="S99" i="3"/>
  <c r="R99" i="3"/>
  <c r="S98" i="3"/>
  <c r="W70" i="3" s="1"/>
  <c r="R98" i="3"/>
  <c r="S97" i="3"/>
  <c r="R97" i="3"/>
  <c r="S96" i="3"/>
  <c r="R96" i="3"/>
  <c r="S95" i="3"/>
  <c r="R95" i="3"/>
  <c r="S94" i="3"/>
  <c r="V66" i="3" s="1"/>
  <c r="R94" i="3"/>
  <c r="S93" i="3"/>
  <c r="U66" i="3" s="1"/>
  <c r="R93" i="3"/>
  <c r="S92" i="3"/>
  <c r="W74" i="3" s="1"/>
  <c r="R92" i="3"/>
  <c r="S91" i="3"/>
  <c r="V74" i="3" s="1"/>
  <c r="R91" i="3"/>
  <c r="S90" i="3"/>
  <c r="R90" i="3"/>
  <c r="S89" i="3"/>
  <c r="W61" i="3" s="1"/>
  <c r="R89" i="3"/>
  <c r="S88" i="3"/>
  <c r="V61" i="3" s="1"/>
  <c r="R88" i="3"/>
  <c r="S87" i="3"/>
  <c r="U61" i="3" s="1"/>
  <c r="R87" i="3"/>
  <c r="S86" i="3"/>
  <c r="W60" i="3" s="1"/>
  <c r="R86" i="3"/>
  <c r="AY85" i="3"/>
  <c r="AW85" i="3"/>
  <c r="AU85" i="3"/>
  <c r="AX85" i="3" s="1"/>
  <c r="AT85" i="3"/>
  <c r="T85" i="3"/>
  <c r="S85" i="3"/>
  <c r="V60" i="3" s="1"/>
  <c r="R85" i="3"/>
  <c r="AY84" i="3"/>
  <c r="AW84" i="3"/>
  <c r="AU84" i="3"/>
  <c r="AX81" i="3" s="1"/>
  <c r="AT84" i="3"/>
  <c r="V84" i="3"/>
  <c r="U84" i="3"/>
  <c r="T84" i="3"/>
  <c r="S84" i="3"/>
  <c r="R84" i="3"/>
  <c r="AY83" i="3"/>
  <c r="AW83" i="3"/>
  <c r="AU83" i="3"/>
  <c r="AX77" i="3" s="1"/>
  <c r="AT83" i="3"/>
  <c r="W83" i="3"/>
  <c r="U83" i="3"/>
  <c r="T83" i="3"/>
  <c r="S83" i="3"/>
  <c r="W59" i="3" s="1"/>
  <c r="R83" i="3"/>
  <c r="AY82" i="3"/>
  <c r="AW82" i="3"/>
  <c r="AU82" i="3"/>
  <c r="AX73" i="3" s="1"/>
  <c r="AT82" i="3"/>
  <c r="V82" i="3"/>
  <c r="U82" i="3"/>
  <c r="T82" i="3"/>
  <c r="S82" i="3"/>
  <c r="V59" i="3" s="1"/>
  <c r="R82" i="3"/>
  <c r="AY81" i="3"/>
  <c r="AW81" i="3"/>
  <c r="AU81" i="3"/>
  <c r="AX69" i="3" s="1"/>
  <c r="AT81" i="3"/>
  <c r="W81" i="3"/>
  <c r="U81" i="3"/>
  <c r="T81" i="3"/>
  <c r="S81" i="3"/>
  <c r="U59" i="3" s="1"/>
  <c r="R81" i="3"/>
  <c r="AY80" i="3"/>
  <c r="AW80" i="3"/>
  <c r="AU80" i="3"/>
  <c r="AX65" i="3" s="1"/>
  <c r="AT80" i="3"/>
  <c r="T80" i="3"/>
  <c r="S80" i="3"/>
  <c r="R80" i="3"/>
  <c r="AY79" i="3"/>
  <c r="AW79" i="3"/>
  <c r="AU79" i="3"/>
  <c r="AX61" i="3" s="1"/>
  <c r="AT79" i="3"/>
  <c r="T79" i="3"/>
  <c r="S79" i="3"/>
  <c r="R79" i="3"/>
  <c r="AY78" i="3"/>
  <c r="AW78" i="3"/>
  <c r="AU78" i="3"/>
  <c r="AX57" i="3" s="1"/>
  <c r="AT78" i="3"/>
  <c r="U78" i="3"/>
  <c r="T78" i="3"/>
  <c r="S78" i="3"/>
  <c r="U58" i="3" s="1"/>
  <c r="R78" i="3"/>
  <c r="AY77" i="3"/>
  <c r="AW77" i="3"/>
  <c r="AU77" i="3"/>
  <c r="AT77" i="3"/>
  <c r="U77" i="3"/>
  <c r="T77" i="3"/>
  <c r="S77" i="3"/>
  <c r="R77" i="3"/>
  <c r="AY76" i="3"/>
  <c r="AW76" i="3"/>
  <c r="AU76" i="3"/>
  <c r="AT76" i="3"/>
  <c r="W76" i="3"/>
  <c r="T76" i="3"/>
  <c r="S76" i="3"/>
  <c r="R76" i="3"/>
  <c r="AY75" i="3"/>
  <c r="AW75" i="3"/>
  <c r="AU75" i="3"/>
  <c r="AT75" i="3"/>
  <c r="V75" i="3"/>
  <c r="U75" i="3"/>
  <c r="T75" i="3"/>
  <c r="S75" i="3"/>
  <c r="U57" i="3" s="1"/>
  <c r="R75" i="3"/>
  <c r="AY74" i="3"/>
  <c r="AW74" i="3"/>
  <c r="AU74" i="3"/>
  <c r="AX41" i="3" s="1"/>
  <c r="AT74" i="3"/>
  <c r="U74" i="3"/>
  <c r="T74" i="3"/>
  <c r="S74" i="3"/>
  <c r="W56" i="3" s="1"/>
  <c r="R74" i="3"/>
  <c r="M74" i="3"/>
  <c r="K74" i="3"/>
  <c r="J74" i="3"/>
  <c r="H74" i="3"/>
  <c r="G74" i="3"/>
  <c r="E74" i="3"/>
  <c r="D74" i="3"/>
  <c r="B74" i="3"/>
  <c r="AY73" i="3"/>
  <c r="AW73" i="3"/>
  <c r="AU73" i="3"/>
  <c r="AX37" i="3" s="1"/>
  <c r="AT73" i="3"/>
  <c r="W73" i="3"/>
  <c r="T73" i="3"/>
  <c r="S73" i="3"/>
  <c r="V56" i="3" s="1"/>
  <c r="R73" i="3"/>
  <c r="M73" i="3"/>
  <c r="K73" i="3"/>
  <c r="J73" i="3"/>
  <c r="H73" i="3"/>
  <c r="G73" i="3"/>
  <c r="E73" i="3"/>
  <c r="D73" i="3"/>
  <c r="B73" i="3"/>
  <c r="AY72" i="3"/>
  <c r="AW72" i="3"/>
  <c r="AU72" i="3"/>
  <c r="AX33" i="3" s="1"/>
  <c r="AT72" i="3"/>
  <c r="V72" i="3"/>
  <c r="U72" i="3"/>
  <c r="T72" i="3"/>
  <c r="S72" i="3"/>
  <c r="U56" i="3" s="1"/>
  <c r="R72" i="3"/>
  <c r="M72" i="3"/>
  <c r="K72" i="3"/>
  <c r="J72" i="3"/>
  <c r="H72" i="3"/>
  <c r="G72" i="3"/>
  <c r="E72" i="3"/>
  <c r="D72" i="3"/>
  <c r="B72" i="3"/>
  <c r="AY71" i="3"/>
  <c r="AW71" i="3"/>
  <c r="AU71" i="3"/>
  <c r="AT71" i="3"/>
  <c r="W71" i="3"/>
  <c r="V71" i="3"/>
  <c r="T71" i="3"/>
  <c r="S71" i="3"/>
  <c r="W54" i="3" s="1"/>
  <c r="R71" i="3"/>
  <c r="M71" i="3"/>
  <c r="K71" i="3"/>
  <c r="J71" i="3"/>
  <c r="H71" i="3"/>
  <c r="G71" i="3"/>
  <c r="E71" i="3"/>
  <c r="D71" i="3"/>
  <c r="B71" i="3"/>
  <c r="AY70" i="3"/>
  <c r="AW70" i="3"/>
  <c r="AU70" i="3"/>
  <c r="AX25" i="3" s="1"/>
  <c r="AT70" i="3"/>
  <c r="V70" i="3"/>
  <c r="U70" i="3"/>
  <c r="T70" i="3"/>
  <c r="S70" i="3"/>
  <c r="V54" i="3" s="1"/>
  <c r="R70" i="3"/>
  <c r="M70" i="3"/>
  <c r="K70" i="3"/>
  <c r="J70" i="3"/>
  <c r="H70" i="3"/>
  <c r="G70" i="3"/>
  <c r="E70" i="3"/>
  <c r="D70" i="3"/>
  <c r="B70" i="3"/>
  <c r="AY69" i="3"/>
  <c r="AW69" i="3"/>
  <c r="AU69" i="3"/>
  <c r="AT69" i="3"/>
  <c r="W69" i="3"/>
  <c r="V69" i="3"/>
  <c r="U69" i="3"/>
  <c r="T69" i="3"/>
  <c r="S69" i="3"/>
  <c r="U54" i="3" s="1"/>
  <c r="R69" i="3"/>
  <c r="M69" i="3"/>
  <c r="K69" i="3"/>
  <c r="J69" i="3"/>
  <c r="H69" i="3"/>
  <c r="G69" i="3"/>
  <c r="E69" i="3"/>
  <c r="D69" i="3"/>
  <c r="B69" i="3"/>
  <c r="AY68" i="3"/>
  <c r="AW68" i="3"/>
  <c r="AU68" i="3"/>
  <c r="AX17" i="3" s="1"/>
  <c r="AT68" i="3"/>
  <c r="W68" i="3"/>
  <c r="U68" i="3"/>
  <c r="T68" i="3"/>
  <c r="S68" i="3"/>
  <c r="W55" i="3" s="1"/>
  <c r="R68" i="3"/>
  <c r="M68" i="3"/>
  <c r="K68" i="3"/>
  <c r="J68" i="3"/>
  <c r="H68" i="3"/>
  <c r="G68" i="3"/>
  <c r="E68" i="3"/>
  <c r="D68" i="3"/>
  <c r="B68" i="3"/>
  <c r="AY67" i="3"/>
  <c r="AW67" i="3"/>
  <c r="AU67" i="3"/>
  <c r="AX13" i="3" s="1"/>
  <c r="AT67" i="3"/>
  <c r="W67" i="3"/>
  <c r="U67" i="3"/>
  <c r="T67" i="3"/>
  <c r="S67" i="3"/>
  <c r="V55" i="3" s="1"/>
  <c r="R67" i="3"/>
  <c r="M67" i="3"/>
  <c r="K67" i="3"/>
  <c r="J67" i="3"/>
  <c r="H67" i="3"/>
  <c r="G67" i="3"/>
  <c r="E67" i="3"/>
  <c r="D67" i="3"/>
  <c r="B67" i="3"/>
  <c r="AY66" i="3"/>
  <c r="AW66" i="3"/>
  <c r="AU66" i="3"/>
  <c r="AX9" i="3" s="1"/>
  <c r="AT66" i="3"/>
  <c r="AW9" i="3" s="1"/>
  <c r="AY9" i="3" s="1"/>
  <c r="W66" i="3"/>
  <c r="T66" i="3"/>
  <c r="S66" i="3"/>
  <c r="U55" i="3" s="1"/>
  <c r="R66" i="3"/>
  <c r="M66" i="3"/>
  <c r="K66" i="3"/>
  <c r="J66" i="3"/>
  <c r="H66" i="3"/>
  <c r="G66" i="3"/>
  <c r="E66" i="3"/>
  <c r="D66" i="3"/>
  <c r="B66" i="3"/>
  <c r="AY65" i="3"/>
  <c r="AW65" i="3"/>
  <c r="AU65" i="3"/>
  <c r="AX84" i="3" s="1"/>
  <c r="AT65" i="3"/>
  <c r="W65" i="3"/>
  <c r="V65" i="3"/>
  <c r="T65" i="3"/>
  <c r="S65" i="3"/>
  <c r="R65" i="3"/>
  <c r="M65" i="3"/>
  <c r="K65" i="3"/>
  <c r="J65" i="3"/>
  <c r="H65" i="3"/>
  <c r="G65" i="3"/>
  <c r="E65" i="3"/>
  <c r="D65" i="3"/>
  <c r="B65" i="3"/>
  <c r="AY64" i="3"/>
  <c r="AW64" i="3"/>
  <c r="AU64" i="3"/>
  <c r="AX80" i="3" s="1"/>
  <c r="AT64" i="3"/>
  <c r="W64" i="3"/>
  <c r="T64" i="3"/>
  <c r="S64" i="3"/>
  <c r="V53" i="3" s="1"/>
  <c r="R64" i="3"/>
  <c r="M64" i="3"/>
  <c r="K64" i="3"/>
  <c r="J64" i="3"/>
  <c r="H64" i="3"/>
  <c r="G64" i="3"/>
  <c r="E64" i="3"/>
  <c r="D64" i="3"/>
  <c r="B64" i="3"/>
  <c r="AY63" i="3"/>
  <c r="AX63" i="3"/>
  <c r="AW63" i="3"/>
  <c r="AU63" i="3"/>
  <c r="AX76" i="3" s="1"/>
  <c r="AT63" i="3"/>
  <c r="W63" i="3"/>
  <c r="U63" i="3"/>
  <c r="T63" i="3"/>
  <c r="S63" i="3"/>
  <c r="U53" i="3" s="1"/>
  <c r="R63" i="3"/>
  <c r="M63" i="3"/>
  <c r="K63" i="3"/>
  <c r="J63" i="3"/>
  <c r="H63" i="3"/>
  <c r="G63" i="3"/>
  <c r="E63" i="3"/>
  <c r="D63" i="3"/>
  <c r="B63" i="3"/>
  <c r="AY62" i="3"/>
  <c r="AW62" i="3"/>
  <c r="AU62" i="3"/>
  <c r="AX72" i="3" s="1"/>
  <c r="AT62" i="3"/>
  <c r="V62" i="3"/>
  <c r="U62" i="3"/>
  <c r="T62" i="3"/>
  <c r="S62" i="3"/>
  <c r="W48" i="3" s="1"/>
  <c r="R62" i="3"/>
  <c r="M62" i="3"/>
  <c r="K62" i="3"/>
  <c r="J62" i="3"/>
  <c r="H62" i="3"/>
  <c r="G62" i="3"/>
  <c r="E62" i="3"/>
  <c r="D62" i="3"/>
  <c r="B62" i="3"/>
  <c r="AY61" i="3"/>
  <c r="AW61" i="3"/>
  <c r="AU61" i="3"/>
  <c r="AX68" i="3" s="1"/>
  <c r="AT61" i="3"/>
  <c r="T61" i="3"/>
  <c r="S61" i="3"/>
  <c r="V48" i="3" s="1"/>
  <c r="R61" i="3"/>
  <c r="M61" i="3"/>
  <c r="K61" i="3"/>
  <c r="J61" i="3"/>
  <c r="H61" i="3"/>
  <c r="G61" i="3"/>
  <c r="E61" i="3"/>
  <c r="D61" i="3"/>
  <c r="B61" i="3"/>
  <c r="AY60" i="3"/>
  <c r="AW60" i="3"/>
  <c r="AU60" i="3"/>
  <c r="AX64" i="3" s="1"/>
  <c r="AT60" i="3"/>
  <c r="U60" i="3"/>
  <c r="T60" i="3"/>
  <c r="S60" i="3"/>
  <c r="U48" i="3" s="1"/>
  <c r="R60" i="3"/>
  <c r="M60" i="3"/>
  <c r="K60" i="3"/>
  <c r="J60" i="3"/>
  <c r="H60" i="3"/>
  <c r="G60" i="3"/>
  <c r="E60" i="3"/>
  <c r="D60" i="3"/>
  <c r="B60" i="3"/>
  <c r="AY59" i="3"/>
  <c r="AW59" i="3"/>
  <c r="AU59" i="3"/>
  <c r="AX60" i="3" s="1"/>
  <c r="AT59" i="3"/>
  <c r="T59" i="3"/>
  <c r="S59" i="3"/>
  <c r="W51" i="3" s="1"/>
  <c r="R59" i="3"/>
  <c r="M59" i="3"/>
  <c r="K59" i="3"/>
  <c r="J59" i="3"/>
  <c r="H59" i="3"/>
  <c r="G59" i="3"/>
  <c r="E59" i="3"/>
  <c r="D59" i="3"/>
  <c r="B59" i="3"/>
  <c r="AY58" i="3"/>
  <c r="AW58" i="3"/>
  <c r="AU58" i="3"/>
  <c r="AX56" i="3" s="1"/>
  <c r="AT58" i="3"/>
  <c r="W58" i="3"/>
  <c r="V58" i="3"/>
  <c r="T58" i="3"/>
  <c r="S58" i="3"/>
  <c r="V51" i="3" s="1"/>
  <c r="R58" i="3"/>
  <c r="M58" i="3"/>
  <c r="K58" i="3"/>
  <c r="J58" i="3"/>
  <c r="H58" i="3"/>
  <c r="G58" i="3"/>
  <c r="E58" i="3"/>
  <c r="D58" i="3"/>
  <c r="B58" i="3"/>
  <c r="AY57" i="3"/>
  <c r="AW57" i="3"/>
  <c r="AU57" i="3"/>
  <c r="AX52" i="3" s="1"/>
  <c r="AT57" i="3"/>
  <c r="W57" i="3"/>
  <c r="V57" i="3"/>
  <c r="T57" i="3"/>
  <c r="S57" i="3"/>
  <c r="U51" i="3" s="1"/>
  <c r="R57" i="3"/>
  <c r="M57" i="3"/>
  <c r="K57" i="3"/>
  <c r="J57" i="3"/>
  <c r="H57" i="3"/>
  <c r="G57" i="3"/>
  <c r="E57" i="3"/>
  <c r="D57" i="3"/>
  <c r="B57" i="3"/>
  <c r="AY56" i="3"/>
  <c r="AW56" i="3"/>
  <c r="AU56" i="3"/>
  <c r="AX48" i="3" s="1"/>
  <c r="AT56" i="3"/>
  <c r="T56" i="3"/>
  <c r="S56" i="3"/>
  <c r="W52" i="3" s="1"/>
  <c r="R56" i="3"/>
  <c r="M56" i="3"/>
  <c r="K56" i="3"/>
  <c r="J56" i="3"/>
  <c r="G56" i="3"/>
  <c r="E56" i="3"/>
  <c r="D56" i="3"/>
  <c r="AY55" i="3"/>
  <c r="AW55" i="3"/>
  <c r="AU55" i="3"/>
  <c r="AX44" i="3" s="1"/>
  <c r="AT55" i="3"/>
  <c r="T55" i="3"/>
  <c r="S55" i="3"/>
  <c r="V52" i="3" s="1"/>
  <c r="R55" i="3"/>
  <c r="AY54" i="3"/>
  <c r="AW54" i="3"/>
  <c r="AU54" i="3"/>
  <c r="AX40" i="3" s="1"/>
  <c r="AT54" i="3"/>
  <c r="T54" i="3"/>
  <c r="S54" i="3"/>
  <c r="U52" i="3" s="1"/>
  <c r="R54" i="3"/>
  <c r="AY53" i="3"/>
  <c r="AX53" i="3"/>
  <c r="AW53" i="3"/>
  <c r="AU53" i="3"/>
  <c r="AX36" i="3" s="1"/>
  <c r="AT53" i="3"/>
  <c r="W53" i="3"/>
  <c r="T53" i="3"/>
  <c r="S53" i="3"/>
  <c r="W49" i="3" s="1"/>
  <c r="R53" i="3"/>
  <c r="AY52" i="3"/>
  <c r="AW52" i="3"/>
  <c r="AU52" i="3"/>
  <c r="AX32" i="3" s="1"/>
  <c r="AT52" i="3"/>
  <c r="T52" i="3"/>
  <c r="S52" i="3"/>
  <c r="V49" i="3" s="1"/>
  <c r="R52" i="3"/>
  <c r="AY51" i="3"/>
  <c r="AW51" i="3"/>
  <c r="AU51" i="3"/>
  <c r="AX28" i="3" s="1"/>
  <c r="AT51" i="3"/>
  <c r="T51" i="3"/>
  <c r="S51" i="3"/>
  <c r="U49" i="3" s="1"/>
  <c r="R51" i="3"/>
  <c r="AY50" i="3"/>
  <c r="AW50" i="3"/>
  <c r="AU50" i="3"/>
  <c r="AX24" i="3" s="1"/>
  <c r="AT50" i="3"/>
  <c r="T50" i="3"/>
  <c r="S50" i="3"/>
  <c r="W50" i="3" s="1"/>
  <c r="R50" i="3"/>
  <c r="AY49" i="3"/>
  <c r="AX49" i="3"/>
  <c r="AW49" i="3"/>
  <c r="AU49" i="3"/>
  <c r="AX20" i="3" s="1"/>
  <c r="AT49" i="3"/>
  <c r="T49" i="3"/>
  <c r="S49" i="3"/>
  <c r="V50" i="3" s="1"/>
  <c r="R49" i="3"/>
  <c r="M49" i="3"/>
  <c r="K49" i="3"/>
  <c r="J49" i="3"/>
  <c r="H49" i="3"/>
  <c r="G49" i="3"/>
  <c r="E49" i="3"/>
  <c r="D49" i="3"/>
  <c r="B49" i="3"/>
  <c r="AY48" i="3"/>
  <c r="AW48" i="3"/>
  <c r="AU48" i="3"/>
  <c r="AT48" i="3"/>
  <c r="T48" i="3"/>
  <c r="S48" i="3"/>
  <c r="U50" i="3" s="1"/>
  <c r="R48" i="3"/>
  <c r="M48" i="3"/>
  <c r="K48" i="3"/>
  <c r="J48" i="3"/>
  <c r="H48" i="3"/>
  <c r="G48" i="3"/>
  <c r="E48" i="3"/>
  <c r="D48" i="3"/>
  <c r="B48" i="3"/>
  <c r="AY47" i="3"/>
  <c r="AW47" i="3"/>
  <c r="AU47" i="3"/>
  <c r="AT47" i="3"/>
  <c r="T47" i="3"/>
  <c r="S47" i="3"/>
  <c r="W47" i="3" s="1"/>
  <c r="R47" i="3"/>
  <c r="M47" i="3"/>
  <c r="K47" i="3"/>
  <c r="J47" i="3"/>
  <c r="H47" i="3"/>
  <c r="G47" i="3"/>
  <c r="E47" i="3"/>
  <c r="D47" i="3"/>
  <c r="B47" i="3"/>
  <c r="AY46" i="3"/>
  <c r="AW46" i="3"/>
  <c r="AU46" i="3"/>
  <c r="AX8" i="3" s="1"/>
  <c r="T46" i="3"/>
  <c r="S46" i="3"/>
  <c r="V47" i="3" s="1"/>
  <c r="R46" i="3"/>
  <c r="M46" i="3"/>
  <c r="K46" i="3"/>
  <c r="J46" i="3"/>
  <c r="H46" i="3"/>
  <c r="G46" i="3"/>
  <c r="E46" i="3"/>
  <c r="D46" i="3"/>
  <c r="B46" i="3"/>
  <c r="AY45" i="3"/>
  <c r="AX45" i="3"/>
  <c r="AW45" i="3"/>
  <c r="AU45" i="3"/>
  <c r="AX83" i="3" s="1"/>
  <c r="AT45" i="3"/>
  <c r="W45" i="3"/>
  <c r="T45" i="3"/>
  <c r="S45" i="3"/>
  <c r="U47" i="3" s="1"/>
  <c r="R45" i="3"/>
  <c r="M45" i="3"/>
  <c r="K45" i="3"/>
  <c r="J45" i="3"/>
  <c r="H45" i="3"/>
  <c r="G45" i="3"/>
  <c r="E45" i="3"/>
  <c r="D45" i="3"/>
  <c r="B45" i="3"/>
  <c r="AY44" i="3"/>
  <c r="AW44" i="3"/>
  <c r="AU44" i="3"/>
  <c r="AX79" i="3" s="1"/>
  <c r="AT44" i="3"/>
  <c r="U44" i="3"/>
  <c r="T44" i="3"/>
  <c r="S44" i="3"/>
  <c r="W46" i="3" s="1"/>
  <c r="R44" i="3"/>
  <c r="M44" i="3"/>
  <c r="K44" i="3"/>
  <c r="J44" i="3"/>
  <c r="H44" i="3"/>
  <c r="G44" i="3"/>
  <c r="E44" i="3"/>
  <c r="D44" i="3"/>
  <c r="B44" i="3"/>
  <c r="AY43" i="3"/>
  <c r="AW43" i="3"/>
  <c r="AU43" i="3"/>
  <c r="AX75" i="3" s="1"/>
  <c r="AT43" i="3"/>
  <c r="W43" i="3"/>
  <c r="U43" i="3"/>
  <c r="T43" i="3"/>
  <c r="S43" i="3"/>
  <c r="V46" i="3" s="1"/>
  <c r="R43" i="3"/>
  <c r="M43" i="3"/>
  <c r="K43" i="3"/>
  <c r="J43" i="3"/>
  <c r="H43" i="3"/>
  <c r="G43" i="3"/>
  <c r="E43" i="3"/>
  <c r="D43" i="3"/>
  <c r="B43" i="3"/>
  <c r="AY42" i="3"/>
  <c r="AW42" i="3"/>
  <c r="AU42" i="3"/>
  <c r="AX71" i="3" s="1"/>
  <c r="AT42" i="3"/>
  <c r="W42" i="3"/>
  <c r="V42" i="3"/>
  <c r="U42" i="3"/>
  <c r="T42" i="3"/>
  <c r="S42" i="3"/>
  <c r="U46" i="3" s="1"/>
  <c r="R42" i="3"/>
  <c r="M42" i="3"/>
  <c r="K42" i="3"/>
  <c r="J42" i="3"/>
  <c r="H42" i="3"/>
  <c r="G42" i="3"/>
  <c r="E42" i="3"/>
  <c r="D42" i="3"/>
  <c r="B42" i="3"/>
  <c r="AY41" i="3"/>
  <c r="AW41" i="3"/>
  <c r="AU41" i="3"/>
  <c r="AX67" i="3" s="1"/>
  <c r="AT41" i="3"/>
  <c r="W41" i="3"/>
  <c r="V41" i="3"/>
  <c r="U41" i="3"/>
  <c r="T41" i="3"/>
  <c r="S41" i="3"/>
  <c r="R41" i="3"/>
  <c r="M41" i="3"/>
  <c r="K41" i="3"/>
  <c r="J41" i="3"/>
  <c r="H41" i="3"/>
  <c r="G41" i="3"/>
  <c r="E41" i="3"/>
  <c r="D41" i="3"/>
  <c r="B41" i="3"/>
  <c r="AY40" i="3"/>
  <c r="AW40" i="3"/>
  <c r="AU40" i="3"/>
  <c r="AT40" i="3"/>
  <c r="W40" i="3"/>
  <c r="T40" i="3"/>
  <c r="S40" i="3"/>
  <c r="V17" i="3" s="1"/>
  <c r="R40" i="3"/>
  <c r="M40" i="3"/>
  <c r="K40" i="3"/>
  <c r="J40" i="3"/>
  <c r="H40" i="3"/>
  <c r="G40" i="3"/>
  <c r="E40" i="3"/>
  <c r="D40" i="3"/>
  <c r="B40" i="3"/>
  <c r="AY39" i="3"/>
  <c r="AW39" i="3"/>
  <c r="AU39" i="3"/>
  <c r="AX59" i="3" s="1"/>
  <c r="AT39" i="3"/>
  <c r="W39" i="3"/>
  <c r="U39" i="3"/>
  <c r="T39" i="3"/>
  <c r="S39" i="3"/>
  <c r="R39" i="3"/>
  <c r="M39" i="3"/>
  <c r="K39" i="3"/>
  <c r="J39" i="3"/>
  <c r="H39" i="3"/>
  <c r="G39" i="3"/>
  <c r="E39" i="3"/>
  <c r="D39" i="3"/>
  <c r="B39" i="3"/>
  <c r="AY38" i="3"/>
  <c r="AW38" i="3"/>
  <c r="AU38" i="3"/>
  <c r="AX55" i="3" s="1"/>
  <c r="AT38" i="3"/>
  <c r="W38" i="3"/>
  <c r="V38" i="3"/>
  <c r="U38" i="3"/>
  <c r="T38" i="3"/>
  <c r="S38" i="3"/>
  <c r="W14" i="3" s="1"/>
  <c r="R38" i="3"/>
  <c r="M38" i="3"/>
  <c r="K38" i="3"/>
  <c r="J38" i="3"/>
  <c r="H38" i="3"/>
  <c r="G38" i="3"/>
  <c r="E38" i="3"/>
  <c r="D38" i="3"/>
  <c r="B38" i="3"/>
  <c r="AY37" i="3"/>
  <c r="AW37" i="3"/>
  <c r="AU37" i="3"/>
  <c r="AX51" i="3" s="1"/>
  <c r="AT37" i="3"/>
  <c r="W37" i="3"/>
  <c r="T37" i="3"/>
  <c r="S37" i="3"/>
  <c r="V14" i="3" s="1"/>
  <c r="R37" i="3"/>
  <c r="M37" i="3"/>
  <c r="K37" i="3"/>
  <c r="J37" i="3"/>
  <c r="H37" i="3"/>
  <c r="G37" i="3"/>
  <c r="E37" i="3"/>
  <c r="D37" i="3"/>
  <c r="B37" i="3"/>
  <c r="AY36" i="3"/>
  <c r="AW36" i="3"/>
  <c r="AU36" i="3"/>
  <c r="AX47" i="3" s="1"/>
  <c r="AT36" i="3"/>
  <c r="W36" i="3"/>
  <c r="V36" i="3"/>
  <c r="U36" i="3"/>
  <c r="T36" i="3"/>
  <c r="S36" i="3"/>
  <c r="U14" i="3" s="1"/>
  <c r="R36" i="3"/>
  <c r="M36" i="3"/>
  <c r="K36" i="3"/>
  <c r="J36" i="3"/>
  <c r="H36" i="3"/>
  <c r="G36" i="3"/>
  <c r="E36" i="3"/>
  <c r="D36" i="3"/>
  <c r="B36" i="3"/>
  <c r="AY35" i="3"/>
  <c r="AW35" i="3"/>
  <c r="AU35" i="3"/>
  <c r="AX43" i="3" s="1"/>
  <c r="AT35" i="3"/>
  <c r="U35" i="3"/>
  <c r="T35" i="3"/>
  <c r="S35" i="3"/>
  <c r="R35" i="3"/>
  <c r="M35" i="3"/>
  <c r="K35" i="3"/>
  <c r="J35" i="3"/>
  <c r="H35" i="3"/>
  <c r="G35" i="3"/>
  <c r="E35" i="3"/>
  <c r="D35" i="3"/>
  <c r="B35" i="3"/>
  <c r="AY34" i="3"/>
  <c r="AW34" i="3"/>
  <c r="AU34" i="3"/>
  <c r="AX39" i="3" s="1"/>
  <c r="AT34" i="3"/>
  <c r="W34" i="3"/>
  <c r="V34" i="3"/>
  <c r="U34" i="3"/>
  <c r="T34" i="3"/>
  <c r="S34" i="3"/>
  <c r="V16" i="3" s="1"/>
  <c r="R34" i="3"/>
  <c r="M34" i="3"/>
  <c r="K34" i="3"/>
  <c r="J34" i="3"/>
  <c r="H34" i="3"/>
  <c r="G34" i="3"/>
  <c r="E34" i="3"/>
  <c r="D34" i="3"/>
  <c r="B34" i="3"/>
  <c r="AY33" i="3"/>
  <c r="AW33" i="3"/>
  <c r="AU33" i="3"/>
  <c r="AX35" i="3" s="1"/>
  <c r="AT33" i="3"/>
  <c r="U33" i="3"/>
  <c r="T33" i="3"/>
  <c r="S33" i="3"/>
  <c r="U16" i="3" s="1"/>
  <c r="R33" i="3"/>
  <c r="M33" i="3"/>
  <c r="K33" i="3"/>
  <c r="J33" i="3"/>
  <c r="H33" i="3"/>
  <c r="G33" i="3"/>
  <c r="E33" i="3"/>
  <c r="D33" i="3"/>
  <c r="B33" i="3"/>
  <c r="AY32" i="3"/>
  <c r="AW32" i="3"/>
  <c r="AU32" i="3"/>
  <c r="AX31" i="3" s="1"/>
  <c r="AT32" i="3"/>
  <c r="W32" i="3"/>
  <c r="T32" i="3"/>
  <c r="S32" i="3"/>
  <c r="R32" i="3"/>
  <c r="M32" i="3"/>
  <c r="K32" i="3"/>
  <c r="J32" i="3"/>
  <c r="H32" i="3"/>
  <c r="G32" i="3"/>
  <c r="E32" i="3"/>
  <c r="D32" i="3"/>
  <c r="B32" i="3"/>
  <c r="AY31" i="3"/>
  <c r="AW31" i="3"/>
  <c r="AU31" i="3"/>
  <c r="AX27" i="3" s="1"/>
  <c r="AT31" i="3"/>
  <c r="T31" i="3"/>
  <c r="S31" i="3"/>
  <c r="V15" i="3" s="1"/>
  <c r="R31" i="3"/>
  <c r="M31" i="3"/>
  <c r="K31" i="3"/>
  <c r="J31" i="3"/>
  <c r="G31" i="3"/>
  <c r="D31" i="3"/>
  <c r="B31" i="3"/>
  <c r="AY30" i="3"/>
  <c r="AW30" i="3"/>
  <c r="AU30" i="3"/>
  <c r="AX23" i="3" s="1"/>
  <c r="AT30" i="3"/>
  <c r="W30" i="3"/>
  <c r="U30" i="3"/>
  <c r="T30" i="3"/>
  <c r="S30" i="3"/>
  <c r="U15" i="3" s="1"/>
  <c r="R30" i="3"/>
  <c r="H30" i="3"/>
  <c r="R10" i="3" s="1"/>
  <c r="B30" i="3"/>
  <c r="E55" i="3" s="1"/>
  <c r="R15" i="3" s="1"/>
  <c r="AY29" i="3"/>
  <c r="AX29" i="3"/>
  <c r="AW29" i="3"/>
  <c r="AU29" i="3"/>
  <c r="AX19" i="3" s="1"/>
  <c r="AT29" i="3"/>
  <c r="W29" i="3"/>
  <c r="U29" i="3"/>
  <c r="T29" i="3"/>
  <c r="S29" i="3"/>
  <c r="R29" i="3"/>
  <c r="AY28" i="3"/>
  <c r="AW28" i="3"/>
  <c r="AU28" i="3"/>
  <c r="AX15" i="3" s="1"/>
  <c r="AT28" i="3"/>
  <c r="W28" i="3"/>
  <c r="V28" i="3"/>
  <c r="U28" i="3"/>
  <c r="T28" i="3"/>
  <c r="S28" i="3"/>
  <c r="V10" i="3" s="1"/>
  <c r="R28" i="3"/>
  <c r="AY27" i="3"/>
  <c r="AW27" i="3"/>
  <c r="AU27" i="3"/>
  <c r="AX11" i="3" s="1"/>
  <c r="V27" i="3"/>
  <c r="U27" i="3"/>
  <c r="T27" i="3"/>
  <c r="S27" i="3"/>
  <c r="U10" i="3" s="1"/>
  <c r="R27" i="3"/>
  <c r="AY26" i="3"/>
  <c r="AW26" i="3"/>
  <c r="AU26" i="3"/>
  <c r="AX7" i="3" s="1"/>
  <c r="W26" i="3"/>
  <c r="V26" i="3"/>
  <c r="U26" i="3"/>
  <c r="T26" i="3"/>
  <c r="S26" i="3"/>
  <c r="W11" i="3" s="1"/>
  <c r="R26" i="3"/>
  <c r="AY25" i="3"/>
  <c r="AW25" i="3"/>
  <c r="AU25" i="3"/>
  <c r="AX82" i="3" s="1"/>
  <c r="AT25" i="3"/>
  <c r="V25" i="3"/>
  <c r="U25" i="3"/>
  <c r="T25" i="3"/>
  <c r="S25" i="3"/>
  <c r="V11" i="3" s="1"/>
  <c r="R25" i="3"/>
  <c r="AY24" i="3"/>
  <c r="AW24" i="3"/>
  <c r="AU24" i="3"/>
  <c r="AX78" i="3" s="1"/>
  <c r="AT24" i="3"/>
  <c r="W24" i="3"/>
  <c r="T24" i="3"/>
  <c r="S24" i="3"/>
  <c r="U11" i="3" s="1"/>
  <c r="R24" i="3"/>
  <c r="M24" i="3"/>
  <c r="K24" i="3"/>
  <c r="J24" i="3"/>
  <c r="H24" i="3"/>
  <c r="G24" i="3"/>
  <c r="E24" i="3"/>
  <c r="D24" i="3"/>
  <c r="B24" i="3"/>
  <c r="AY23" i="3"/>
  <c r="AW23" i="3"/>
  <c r="AU23" i="3"/>
  <c r="AX74" i="3" s="1"/>
  <c r="AT23" i="3"/>
  <c r="U23" i="3"/>
  <c r="T23" i="3"/>
  <c r="S23" i="3"/>
  <c r="W12" i="3" s="1"/>
  <c r="M23" i="3"/>
  <c r="K23" i="3"/>
  <c r="J23" i="3"/>
  <c r="H23" i="3"/>
  <c r="G23" i="3"/>
  <c r="E23" i="3"/>
  <c r="D23" i="3"/>
  <c r="B23" i="3"/>
  <c r="AY22" i="3"/>
  <c r="AW22" i="3"/>
  <c r="AU22" i="3"/>
  <c r="AX70" i="3" s="1"/>
  <c r="AT22" i="3"/>
  <c r="W22" i="3"/>
  <c r="U22" i="3"/>
  <c r="T22" i="3"/>
  <c r="S22" i="3"/>
  <c r="V12" i="3" s="1"/>
  <c r="M22" i="3"/>
  <c r="K22" i="3"/>
  <c r="J22" i="3"/>
  <c r="H22" i="3"/>
  <c r="G22" i="3"/>
  <c r="E22" i="3"/>
  <c r="D22" i="3"/>
  <c r="B22" i="3"/>
  <c r="AY21" i="3"/>
  <c r="AX21" i="3"/>
  <c r="AW21" i="3"/>
  <c r="AU21" i="3"/>
  <c r="AX66" i="3" s="1"/>
  <c r="AT21" i="3"/>
  <c r="AG21" i="3"/>
  <c r="AF21" i="3"/>
  <c r="AA21" i="3"/>
  <c r="Z21" i="3"/>
  <c r="W21" i="3"/>
  <c r="T21" i="3"/>
  <c r="S21" i="3"/>
  <c r="U12" i="3" s="1"/>
  <c r="M21" i="3"/>
  <c r="K21" i="3"/>
  <c r="J21" i="3"/>
  <c r="H21" i="3"/>
  <c r="G21" i="3"/>
  <c r="E21" i="3"/>
  <c r="D21" i="3"/>
  <c r="B21" i="3"/>
  <c r="AY20" i="3"/>
  <c r="AW20" i="3"/>
  <c r="AU20" i="3"/>
  <c r="AX62" i="3" s="1"/>
  <c r="AT20" i="3"/>
  <c r="AG20" i="3"/>
  <c r="AF20" i="3"/>
  <c r="AA20" i="3"/>
  <c r="Z20" i="3"/>
  <c r="V20" i="3"/>
  <c r="U20" i="3"/>
  <c r="T20" i="3"/>
  <c r="S20" i="3"/>
  <c r="W13" i="3" s="1"/>
  <c r="M20" i="3"/>
  <c r="K20" i="3"/>
  <c r="J20" i="3"/>
  <c r="H20" i="3"/>
  <c r="G20" i="3"/>
  <c r="E20" i="3"/>
  <c r="D20" i="3"/>
  <c r="B20" i="3"/>
  <c r="AY19" i="3"/>
  <c r="AW19" i="3"/>
  <c r="AU19" i="3"/>
  <c r="AX58" i="3" s="1"/>
  <c r="AT19" i="3"/>
  <c r="AG19" i="3"/>
  <c r="AF19" i="3"/>
  <c r="AA19" i="3"/>
  <c r="Z19" i="3"/>
  <c r="U19" i="3"/>
  <c r="T19" i="3"/>
  <c r="S19" i="3"/>
  <c r="V13" i="3" s="1"/>
  <c r="M19" i="3"/>
  <c r="K19" i="3"/>
  <c r="J19" i="3"/>
  <c r="H19" i="3"/>
  <c r="G19" i="3"/>
  <c r="E19" i="3"/>
  <c r="D19" i="3"/>
  <c r="B19" i="3"/>
  <c r="AY18" i="3"/>
  <c r="AW18" i="3"/>
  <c r="AU18" i="3"/>
  <c r="AX54" i="3" s="1"/>
  <c r="AT18" i="3"/>
  <c r="AG18" i="3"/>
  <c r="AF18" i="3"/>
  <c r="AA18" i="3"/>
  <c r="Z18" i="3"/>
  <c r="W18" i="3"/>
  <c r="V18" i="3"/>
  <c r="U18" i="3"/>
  <c r="T18" i="3"/>
  <c r="S18" i="3"/>
  <c r="M18" i="3"/>
  <c r="K18" i="3"/>
  <c r="J18" i="3"/>
  <c r="H18" i="3"/>
  <c r="G18" i="3"/>
  <c r="E18" i="3"/>
  <c r="D18" i="3"/>
  <c r="B18" i="3"/>
  <c r="AY17" i="3"/>
  <c r="AW17" i="3"/>
  <c r="AU17" i="3"/>
  <c r="AX50" i="3" s="1"/>
  <c r="AT17" i="3"/>
  <c r="AG17" i="3"/>
  <c r="AF17" i="3"/>
  <c r="AA17" i="3"/>
  <c r="Z17" i="3"/>
  <c r="W17" i="3"/>
  <c r="U17" i="3"/>
  <c r="T17" i="3"/>
  <c r="S15" i="3"/>
  <c r="M17" i="3"/>
  <c r="K17" i="3"/>
  <c r="J17" i="3"/>
  <c r="H17" i="3"/>
  <c r="G17" i="3"/>
  <c r="E17" i="3"/>
  <c r="D17" i="3"/>
  <c r="B17" i="3"/>
  <c r="AY16" i="3"/>
  <c r="AX16" i="3"/>
  <c r="AW16" i="3"/>
  <c r="AU16" i="3"/>
  <c r="AX46" i="3" s="1"/>
  <c r="AT16" i="3"/>
  <c r="AG16" i="3"/>
  <c r="AF16" i="3"/>
  <c r="AA16" i="3"/>
  <c r="Z16" i="3"/>
  <c r="W16" i="3"/>
  <c r="T16" i="3"/>
  <c r="S16" i="3"/>
  <c r="V8" i="3" s="1"/>
  <c r="R16" i="3"/>
  <c r="M16" i="3"/>
  <c r="K16" i="3"/>
  <c r="J16" i="3"/>
  <c r="H16" i="3"/>
  <c r="G16" i="3"/>
  <c r="E16" i="3"/>
  <c r="D16" i="3"/>
  <c r="B16" i="3"/>
  <c r="AY15" i="3"/>
  <c r="AW15" i="3"/>
  <c r="AU15" i="3"/>
  <c r="AX42" i="3" s="1"/>
  <c r="AT15" i="3"/>
  <c r="AG15" i="3"/>
  <c r="AF15" i="3"/>
  <c r="AA15" i="3"/>
  <c r="Z15" i="3"/>
  <c r="W15" i="3"/>
  <c r="T15" i="3"/>
  <c r="S17" i="3"/>
  <c r="R17" i="3"/>
  <c r="M15" i="3"/>
  <c r="K15" i="3"/>
  <c r="J15" i="3"/>
  <c r="H15" i="3"/>
  <c r="G15" i="3"/>
  <c r="E15" i="3"/>
  <c r="D15" i="3"/>
  <c r="B15" i="3"/>
  <c r="AY14" i="3"/>
  <c r="AX14" i="3"/>
  <c r="AW14" i="3"/>
  <c r="AU14" i="3"/>
  <c r="AX38" i="3" s="1"/>
  <c r="AT14" i="3"/>
  <c r="AG14" i="3"/>
  <c r="AF14" i="3"/>
  <c r="AA14" i="3"/>
  <c r="Z14" i="3"/>
  <c r="T14" i="3"/>
  <c r="S13" i="3"/>
  <c r="M14" i="3"/>
  <c r="K14" i="3"/>
  <c r="J14" i="3"/>
  <c r="H14" i="3"/>
  <c r="G14" i="3"/>
  <c r="E14" i="3"/>
  <c r="D14" i="3"/>
  <c r="B14" i="3"/>
  <c r="AY13" i="3"/>
  <c r="AW13" i="3"/>
  <c r="AU13" i="3"/>
  <c r="AX34" i="3" s="1"/>
  <c r="AT13" i="3"/>
  <c r="AL13" i="3"/>
  <c r="AK13" i="3"/>
  <c r="AG13" i="3"/>
  <c r="AF13" i="3"/>
  <c r="AA13" i="3"/>
  <c r="Z13" i="3"/>
  <c r="S12" i="3"/>
  <c r="M13" i="3"/>
  <c r="K13" i="3"/>
  <c r="J13" i="3"/>
  <c r="H13" i="3"/>
  <c r="G13" i="3"/>
  <c r="E13" i="3"/>
  <c r="D13" i="3"/>
  <c r="B13" i="3"/>
  <c r="AY12" i="3"/>
  <c r="AX12" i="3"/>
  <c r="AW12" i="3"/>
  <c r="AU12" i="3"/>
  <c r="AX30" i="3" s="1"/>
  <c r="AT12" i="3"/>
  <c r="AL12" i="3"/>
  <c r="AK12" i="3"/>
  <c r="AG12" i="3"/>
  <c r="AF12" i="3"/>
  <c r="AA12" i="3"/>
  <c r="Z12" i="3"/>
  <c r="T8" i="3"/>
  <c r="S14" i="3"/>
  <c r="R14" i="3"/>
  <c r="M12" i="3"/>
  <c r="K12" i="3"/>
  <c r="J12" i="3"/>
  <c r="H12" i="3"/>
  <c r="G12" i="3"/>
  <c r="E12" i="3"/>
  <c r="D12" i="3"/>
  <c r="B12" i="3"/>
  <c r="AU11" i="3"/>
  <c r="AX26" i="3" s="1"/>
  <c r="AT11" i="3"/>
  <c r="AL11" i="3"/>
  <c r="AK11" i="3"/>
  <c r="AG11" i="3"/>
  <c r="AF11" i="3"/>
  <c r="AA11" i="3"/>
  <c r="Z11" i="3"/>
  <c r="U13" i="3"/>
  <c r="S9" i="3"/>
  <c r="M11" i="3"/>
  <c r="K11" i="3"/>
  <c r="J11" i="3"/>
  <c r="H11" i="3"/>
  <c r="G11" i="3"/>
  <c r="E11" i="3"/>
  <c r="D11" i="3"/>
  <c r="B11" i="3"/>
  <c r="AU10" i="3"/>
  <c r="AX22" i="3" s="1"/>
  <c r="AT10" i="3"/>
  <c r="AL10" i="3"/>
  <c r="AK10" i="3"/>
  <c r="AG10" i="3"/>
  <c r="AF10" i="3"/>
  <c r="AA10" i="3"/>
  <c r="Z10" i="3"/>
  <c r="S10" i="3"/>
  <c r="V9" i="3" s="1"/>
  <c r="M10" i="3"/>
  <c r="K10" i="3"/>
  <c r="J10" i="3"/>
  <c r="H10" i="3"/>
  <c r="G10" i="3"/>
  <c r="E10" i="3"/>
  <c r="D10" i="3"/>
  <c r="B10" i="3"/>
  <c r="AU9" i="3"/>
  <c r="AX18" i="3" s="1"/>
  <c r="AT9" i="3"/>
  <c r="AQ9" i="3"/>
  <c r="AP9" i="3"/>
  <c r="AL9" i="3"/>
  <c r="AK9" i="3"/>
  <c r="AG9" i="3"/>
  <c r="AF9" i="3"/>
  <c r="AA9" i="3"/>
  <c r="Z9" i="3"/>
  <c r="T11" i="3"/>
  <c r="S11" i="3"/>
  <c r="U9" i="3" s="1"/>
  <c r="M9" i="3"/>
  <c r="K9" i="3"/>
  <c r="J9" i="3"/>
  <c r="H9" i="3"/>
  <c r="G9" i="3"/>
  <c r="E9" i="3"/>
  <c r="D9" i="3"/>
  <c r="B9" i="3"/>
  <c r="AU8" i="3"/>
  <c r="AT8" i="3"/>
  <c r="AQ8" i="3"/>
  <c r="AP8" i="3"/>
  <c r="AL8" i="3"/>
  <c r="AK8" i="3"/>
  <c r="AG8" i="3"/>
  <c r="AF8" i="3"/>
  <c r="AA8" i="3"/>
  <c r="Z8" i="3"/>
  <c r="S6" i="3"/>
  <c r="M8" i="3"/>
  <c r="K8" i="3"/>
  <c r="J8" i="3"/>
  <c r="H8" i="3"/>
  <c r="G8" i="3"/>
  <c r="E8" i="3"/>
  <c r="D8" i="3"/>
  <c r="B8" i="3"/>
  <c r="AU7" i="3"/>
  <c r="AX10" i="3" s="1"/>
  <c r="AQ7" i="3"/>
  <c r="AP7" i="3"/>
  <c r="AL7" i="3"/>
  <c r="AK7" i="3"/>
  <c r="AG7" i="3"/>
  <c r="AF7" i="3"/>
  <c r="AA7" i="3"/>
  <c r="Z7" i="3"/>
  <c r="W10" i="3"/>
  <c r="S7" i="3"/>
  <c r="V7" i="3" s="1"/>
  <c r="M7" i="3"/>
  <c r="K7" i="3"/>
  <c r="J7" i="3"/>
  <c r="H7" i="3"/>
  <c r="G7" i="3"/>
  <c r="E7" i="3"/>
  <c r="D7" i="3"/>
  <c r="B7" i="3"/>
  <c r="AU6" i="3"/>
  <c r="AX6" i="3" s="1"/>
  <c r="AQ6" i="3"/>
  <c r="AP6" i="3"/>
  <c r="AL6" i="3"/>
  <c r="AK6" i="3"/>
  <c r="AG6" i="3"/>
  <c r="AF6" i="3"/>
  <c r="AA6" i="3"/>
  <c r="Z6" i="3"/>
  <c r="V6" i="3"/>
  <c r="T6" i="3"/>
  <c r="S8" i="3"/>
  <c r="M6" i="3"/>
  <c r="K6" i="3"/>
  <c r="J6" i="3"/>
  <c r="H6" i="3"/>
  <c r="G6" i="3"/>
  <c r="E6" i="3"/>
  <c r="AT27" i="3" s="1"/>
  <c r="AW11" i="3" s="1"/>
  <c r="AY11" i="3" s="1"/>
  <c r="D6" i="3"/>
  <c r="B6" i="3"/>
  <c r="E31" i="3" s="1"/>
  <c r="K5" i="3"/>
  <c r="H5" i="3"/>
  <c r="AT46" i="3" s="1"/>
  <c r="AW8" i="3" s="1"/>
  <c r="AY8" i="3" s="1"/>
  <c r="E5" i="3"/>
  <c r="AT26" i="3" s="1"/>
  <c r="AW7" i="3" s="1"/>
  <c r="AY7" i="3" s="1"/>
  <c r="B5" i="3"/>
  <c r="AT6" i="3" s="1"/>
  <c r="AW6" i="3" s="1"/>
  <c r="AY6" i="3" s="1"/>
  <c r="D87" i="2"/>
  <c r="A87" i="2"/>
  <c r="D86" i="2"/>
  <c r="A86" i="2"/>
  <c r="D85" i="2"/>
  <c r="A85" i="2"/>
  <c r="D84" i="2"/>
  <c r="D83" i="2"/>
  <c r="A83" i="2"/>
  <c r="D82" i="2"/>
  <c r="A82" i="2"/>
  <c r="D81" i="2"/>
  <c r="A81" i="2"/>
  <c r="D80" i="2"/>
  <c r="D79" i="2"/>
  <c r="A79" i="2"/>
  <c r="D78" i="2"/>
  <c r="A78" i="2"/>
  <c r="D77" i="2"/>
  <c r="A77" i="2"/>
  <c r="D76" i="2"/>
  <c r="D75" i="2"/>
  <c r="A75" i="2"/>
  <c r="D74" i="2"/>
  <c r="A74" i="2"/>
  <c r="D73" i="2"/>
  <c r="A73" i="2"/>
  <c r="D72" i="2"/>
  <c r="D71" i="2"/>
  <c r="A71" i="2"/>
  <c r="D70" i="2"/>
  <c r="A70" i="2"/>
  <c r="D69" i="2"/>
  <c r="A69" i="2"/>
  <c r="D68" i="2"/>
  <c r="D67" i="2"/>
  <c r="A67" i="2"/>
  <c r="D66" i="2"/>
  <c r="A66" i="2"/>
  <c r="D65" i="2"/>
  <c r="A65" i="2"/>
  <c r="D64" i="2"/>
  <c r="D63" i="2"/>
  <c r="A63" i="2"/>
  <c r="D62" i="2"/>
  <c r="A62" i="2"/>
  <c r="D61" i="2"/>
  <c r="A61" i="2"/>
  <c r="D60" i="2"/>
  <c r="D59" i="2"/>
  <c r="A59" i="2"/>
  <c r="D58" i="2"/>
  <c r="A58" i="2"/>
  <c r="D57" i="2"/>
  <c r="A57" i="2"/>
  <c r="D56" i="2"/>
  <c r="D55" i="2"/>
  <c r="A55" i="2"/>
  <c r="D54" i="2"/>
  <c r="A54" i="2"/>
  <c r="D53" i="2"/>
  <c r="A53" i="2"/>
  <c r="D52" i="2"/>
  <c r="D51" i="2"/>
  <c r="A51" i="2"/>
  <c r="D50" i="2"/>
  <c r="A50" i="2"/>
  <c r="D49" i="2"/>
  <c r="A49" i="2"/>
  <c r="D48" i="2"/>
  <c r="D47" i="2"/>
  <c r="A47" i="2"/>
  <c r="D46" i="2"/>
  <c r="A46" i="2"/>
  <c r="D45" i="2"/>
  <c r="A45" i="2"/>
  <c r="D44" i="2"/>
  <c r="D43" i="2"/>
  <c r="A43" i="2"/>
  <c r="D42" i="2"/>
  <c r="A42" i="2"/>
  <c r="D41" i="2"/>
  <c r="A41" i="2"/>
  <c r="D40" i="2"/>
  <c r="D39" i="2"/>
  <c r="A39" i="2"/>
  <c r="D38" i="2"/>
  <c r="A38" i="2"/>
  <c r="D37" i="2"/>
  <c r="A37" i="2"/>
  <c r="D36" i="2"/>
  <c r="D35" i="2"/>
  <c r="A35" i="2"/>
  <c r="D34" i="2"/>
  <c r="A34" i="2"/>
  <c r="D33" i="2"/>
  <c r="A33" i="2"/>
  <c r="D32" i="2"/>
  <c r="D31" i="2"/>
  <c r="A31" i="2"/>
  <c r="D30" i="2"/>
  <c r="A30" i="2"/>
  <c r="D29" i="2"/>
  <c r="A29" i="2"/>
  <c r="D28" i="2"/>
  <c r="D27" i="2"/>
  <c r="A27" i="2"/>
  <c r="D26" i="2"/>
  <c r="A26" i="2"/>
  <c r="D25" i="2"/>
  <c r="A25" i="2"/>
  <c r="D24" i="2"/>
  <c r="D23" i="2"/>
  <c r="A23" i="2"/>
  <c r="D22" i="2"/>
  <c r="A22" i="2"/>
  <c r="D21" i="2"/>
  <c r="A21" i="2"/>
  <c r="D20" i="2"/>
  <c r="D19" i="2"/>
  <c r="A19" i="2"/>
  <c r="D18" i="2"/>
  <c r="A18" i="2"/>
  <c r="D17" i="2"/>
  <c r="A17" i="2"/>
  <c r="D16" i="2"/>
  <c r="D15" i="2"/>
  <c r="A15" i="2"/>
  <c r="D14" i="2"/>
  <c r="A14" i="2"/>
  <c r="A13" i="2"/>
  <c r="D12" i="2"/>
  <c r="D11" i="2"/>
  <c r="D10" i="2"/>
  <c r="D9" i="2"/>
  <c r="D8" i="2"/>
  <c r="U8" i="3" l="1"/>
  <c r="U7" i="3"/>
  <c r="U6" i="3"/>
  <c r="W7" i="3"/>
  <c r="W9" i="3"/>
  <c r="W8" i="3"/>
  <c r="W6" i="3"/>
  <c r="J5" i="3"/>
  <c r="M30" i="3" s="1"/>
  <c r="M55" i="3" s="1"/>
  <c r="M5" i="3"/>
  <c r="D30" i="3" s="1"/>
  <c r="G55" i="3" s="1"/>
  <c r="G5" i="3"/>
  <c r="J30" i="3" s="1"/>
  <c r="D55" i="3" s="1"/>
  <c r="D5" i="3"/>
  <c r="G30" i="3" s="1"/>
  <c r="J55" i="3" s="1"/>
  <c r="R21" i="3"/>
  <c r="T12" i="3" s="1"/>
  <c r="H31" i="3"/>
  <c r="B56" i="3" s="1"/>
  <c r="R22" i="3" s="1"/>
  <c r="R18" i="3"/>
  <c r="T13" i="3" s="1"/>
  <c r="AT7" i="3"/>
  <c r="AW10" i="3" s="1"/>
  <c r="AY10" i="3" s="1"/>
  <c r="H56" i="3"/>
  <c r="R19" i="3" s="1"/>
  <c r="R20" i="3"/>
  <c r="K30" i="3"/>
  <c r="B55" i="3"/>
  <c r="R9" i="3" s="1"/>
  <c r="R11" i="3"/>
  <c r="T9" i="3" s="1"/>
  <c r="E30" i="3"/>
  <c r="R8" i="3"/>
  <c r="T7" i="3" s="1"/>
  <c r="E12" i="36"/>
  <c r="E21" i="36"/>
  <c r="E35" i="36" l="1"/>
  <c r="G35" i="36" s="1"/>
  <c r="R23" i="3"/>
  <c r="K55" i="3"/>
  <c r="R12" i="3" s="1"/>
  <c r="R13" i="3"/>
  <c r="R7" i="3"/>
  <c r="H55" i="3"/>
  <c r="R6" i="3" s="1"/>
</calcChain>
</file>

<file path=xl/sharedStrings.xml><?xml version="1.0" encoding="utf-8"?>
<sst xmlns="http://schemas.openxmlformats.org/spreadsheetml/2006/main" count="623" uniqueCount="203">
  <si>
    <t>control w…sorts AF,AG by AGdec</t>
  </si>
  <si>
    <t>Team #</t>
  </si>
  <si>
    <t>Team Name</t>
  </si>
  <si>
    <t>Team</t>
  </si>
  <si>
    <t>Score</t>
  </si>
  <si>
    <t>Rank</t>
  </si>
  <si>
    <t>a</t>
  </si>
  <si>
    <t>team</t>
  </si>
  <si>
    <t>TEAM</t>
  </si>
  <si>
    <t>score</t>
  </si>
  <si>
    <t>2nd best</t>
  </si>
  <si>
    <t>lowest</t>
  </si>
  <si>
    <t>highest</t>
  </si>
  <si>
    <t>control a…sorts R,S by Rasc then Sdec</t>
  </si>
  <si>
    <t>takes sweet 16, returns great 8</t>
  </si>
  <si>
    <t>control b…sorts Z,AA by AAdec</t>
  </si>
  <si>
    <t>control d…sorts AF,AG by AGdec</t>
  </si>
  <si>
    <t>takes great 8, returns final 4</t>
  </si>
  <si>
    <t>takes final 4, returns rumble</t>
  </si>
  <si>
    <t>data from 16</t>
  </si>
  <si>
    <t>data from 8</t>
  </si>
  <si>
    <t>data from 4</t>
  </si>
  <si>
    <t>data from 2</t>
  </si>
  <si>
    <t>control e…sorts AO,AP by APdec</t>
  </si>
  <si>
    <t>takes rumble, returns winners</t>
  </si>
  <si>
    <t>max</t>
  </si>
  <si>
    <t>for rank</t>
  </si>
  <si>
    <t>REGISTRATION</t>
  </si>
  <si>
    <t>RANK</t>
  </si>
  <si>
    <t>for Director's</t>
  </si>
  <si>
    <t>1st</t>
  </si>
  <si>
    <t>2nd</t>
  </si>
  <si>
    <t>3rd</t>
  </si>
  <si>
    <t>4th</t>
  </si>
  <si>
    <t>5th</t>
  </si>
  <si>
    <t>6th</t>
  </si>
  <si>
    <t>7th</t>
  </si>
  <si>
    <t>8th</t>
  </si>
  <si>
    <t>9th</t>
  </si>
  <si>
    <t>10th</t>
  </si>
  <si>
    <t>11th</t>
  </si>
  <si>
    <t>12th</t>
  </si>
  <si>
    <t>13th</t>
  </si>
  <si>
    <t>14th</t>
  </si>
  <si>
    <t>15th</t>
  </si>
  <si>
    <t>16th</t>
  </si>
  <si>
    <t>count</t>
  </si>
  <si>
    <t>then sorts T,U,V,W  by Udec then Vdec then Wdec</t>
  </si>
  <si>
    <t>sortable version of</t>
  </si>
  <si>
    <t>list to the left</t>
  </si>
  <si>
    <t>not sortable</t>
  </si>
  <si>
    <t>Field A</t>
  </si>
  <si>
    <t>Field B</t>
  </si>
  <si>
    <t>Field C</t>
  </si>
  <si>
    <t>Field D</t>
  </si>
  <si>
    <t>(Scroll Up!)</t>
  </si>
  <si>
    <t>Round 1</t>
  </si>
  <si>
    <t>Round 2</t>
  </si>
  <si>
    <t>Round 3</t>
  </si>
  <si>
    <t>type ctrl+a first!</t>
  </si>
  <si>
    <t>(raw data)</t>
  </si>
  <si>
    <t>17th</t>
  </si>
  <si>
    <t>18th</t>
  </si>
  <si>
    <t>19th</t>
  </si>
  <si>
    <t>20th</t>
  </si>
  <si>
    <t>21st</t>
  </si>
  <si>
    <t>22nd</t>
  </si>
  <si>
    <t>23rd</t>
  </si>
  <si>
    <t>24th</t>
  </si>
  <si>
    <t>25th</t>
  </si>
  <si>
    <t>26th</t>
  </si>
  <si>
    <t>27th</t>
  </si>
  <si>
    <t>28th</t>
  </si>
  <si>
    <t>29th</t>
  </si>
  <si>
    <t>30th</t>
  </si>
  <si>
    <t>31st</t>
  </si>
  <si>
    <t>32nd</t>
  </si>
  <si>
    <t>33rd</t>
  </si>
  <si>
    <t>34th</t>
  </si>
  <si>
    <t>35th</t>
  </si>
  <si>
    <t>36th</t>
  </si>
  <si>
    <t>37th</t>
  </si>
  <si>
    <t>38th</t>
  </si>
  <si>
    <t>39th</t>
  </si>
  <si>
    <t>40th</t>
  </si>
  <si>
    <t>41st</t>
  </si>
  <si>
    <t>42nd</t>
  </si>
  <si>
    <t>43rd</t>
  </si>
  <si>
    <t>44th</t>
  </si>
  <si>
    <t>45th</t>
  </si>
  <si>
    <t>46th</t>
  </si>
  <si>
    <t>47th</t>
  </si>
  <si>
    <t>48th</t>
  </si>
  <si>
    <t>49th</t>
  </si>
  <si>
    <t>50th</t>
  </si>
  <si>
    <t>51st</t>
  </si>
  <si>
    <t>52nd</t>
  </si>
  <si>
    <t>53rd</t>
  </si>
  <si>
    <t>54th</t>
  </si>
  <si>
    <t>55th</t>
  </si>
  <si>
    <t>56th</t>
  </si>
  <si>
    <t>57th</t>
  </si>
  <si>
    <t>58th</t>
  </si>
  <si>
    <t>59th</t>
  </si>
  <si>
    <t>60th</t>
  </si>
  <si>
    <t>61st</t>
  </si>
  <si>
    <t>62nd</t>
  </si>
  <si>
    <t>63rd</t>
  </si>
  <si>
    <t>64th</t>
  </si>
  <si>
    <t>65th</t>
  </si>
  <si>
    <t>66th</t>
  </si>
  <si>
    <t>67th</t>
  </si>
  <si>
    <t>68th</t>
  </si>
  <si>
    <t>69th</t>
  </si>
  <si>
    <t>70th</t>
  </si>
  <si>
    <t>71st</t>
  </si>
  <si>
    <t>72nd</t>
  </si>
  <si>
    <t>73rd</t>
  </si>
  <si>
    <t>74th</t>
  </si>
  <si>
    <t>75th</t>
  </si>
  <si>
    <t>76th</t>
  </si>
  <si>
    <t>77th</t>
  </si>
  <si>
    <t>78th</t>
  </si>
  <si>
    <t>79th</t>
  </si>
  <si>
    <t>80th</t>
  </si>
  <si>
    <t>Then go to Score Entry And Standings and enter the score for the correct team in the correct round.</t>
  </si>
  <si>
    <t>The rank of every team is shown based on their best score so far, and NOT based on the score the rank is shown next to.</t>
  </si>
  <si>
    <r>
      <rPr>
        <b/>
        <sz val="12"/>
        <color indexed="10"/>
        <rFont val="Arial"/>
        <family val="2"/>
      </rPr>
      <t>Score Entry And Standings</t>
    </r>
    <r>
      <rPr>
        <sz val="12"/>
        <rFont val="Arial"/>
        <family val="2"/>
      </rPr>
      <t xml:space="preserve"> is the place to enter all scores from the Scoring Worksheet.  You will then use commands to make the spreadsheet break ties and show ranks.</t>
    </r>
  </si>
  <si>
    <t>M##</t>
  </si>
  <si>
    <t>Mission</t>
  </si>
  <si>
    <t>Options</t>
  </si>
  <si>
    <t>---</t>
  </si>
  <si>
    <t>Mission 01</t>
  </si>
  <si>
    <t>Mission 02</t>
  </si>
  <si>
    <t>Mission 03</t>
  </si>
  <si>
    <t>Mission 04</t>
  </si>
  <si>
    <t>Mission 05</t>
  </si>
  <si>
    <t>Mission 06</t>
  </si>
  <si>
    <t>Mission 07</t>
  </si>
  <si>
    <t>Mission 08</t>
  </si>
  <si>
    <t>Mission 09</t>
  </si>
  <si>
    <t>Mission 10</t>
  </si>
  <si>
    <t>Mission 11</t>
  </si>
  <si>
    <t>Mission 12</t>
  </si>
  <si>
    <t>Mission 13</t>
  </si>
  <si>
    <t>Mission 14</t>
  </si>
  <si>
    <t>Mission 15</t>
  </si>
  <si>
    <t>****Form Control Groups are hidden via Macro</t>
  </si>
  <si>
    <t>^^^Scroll Up^^^</t>
  </si>
  <si>
    <t>T1</t>
  </si>
  <si>
    <t>T2</t>
  </si>
  <si>
    <t>T4</t>
  </si>
  <si>
    <t>T3</t>
  </si>
  <si>
    <t>Do not run any other spreadsheets while you run this one.</t>
  </si>
  <si>
    <t>Adjust View, Zoom, and Display Settings to arrive at a screen output that projects well.</t>
  </si>
  <si>
    <t>Save frequently during the competition to avoid loss of data.</t>
  </si>
  <si>
    <t>If you have questions, or if you discover problems concerning this spreadsheet, e-mail fllquestions@firstinspires.org.</t>
  </si>
  <si>
    <r>
      <rPr>
        <b/>
        <sz val="12"/>
        <color indexed="10"/>
        <rFont val="Arial"/>
        <family val="2"/>
      </rPr>
      <t>Team Data</t>
    </r>
    <r>
      <rPr>
        <sz val="12"/>
        <rFont val="Arial"/>
        <family val="2"/>
      </rPr>
      <t xml:space="preserve"> sheet is used to enter team numbers and names.  It will automatically arrange the matches of 3 rounds on 4 fields (half-tables), in the Score Entry and Standings sheet.</t>
    </r>
  </si>
  <si>
    <r>
      <rPr>
        <b/>
        <sz val="12"/>
        <color indexed="10"/>
        <rFont val="Arial"/>
        <family val="2"/>
      </rPr>
      <t>Scoring Worksheet</t>
    </r>
    <r>
      <rPr>
        <sz val="12"/>
        <rFont val="Arial"/>
        <family val="2"/>
      </rPr>
      <t xml:space="preserve"> sheeet is used to to tally the data from each Ref Sheet when it comes to you.</t>
    </r>
  </si>
  <si>
    <t>When finished, note the score and write it in pen on the Ref Sheet.  This is a hardcopy backup system.</t>
  </si>
  <si>
    <r>
      <t xml:space="preserve">When using the Scoring Worksheet the next time, clear it first by clicking the </t>
    </r>
    <r>
      <rPr>
        <b/>
        <sz val="12"/>
        <rFont val="Arial"/>
        <family val="2"/>
      </rPr>
      <t>RESET</t>
    </r>
    <r>
      <rPr>
        <sz val="12"/>
        <rFont val="Arial"/>
        <family val="2"/>
      </rPr>
      <t xml:space="preserve"> button.</t>
    </r>
  </si>
  <si>
    <t>Excel Scorer Instructions</t>
  </si>
  <si>
    <r>
      <rPr>
        <b/>
        <sz val="12"/>
        <color rgb="FFFF0000"/>
        <rFont val="Arial"/>
        <family val="2"/>
      </rPr>
      <t>IMPORTANT:</t>
    </r>
    <r>
      <rPr>
        <b/>
        <sz val="12"/>
        <rFont val="Arial"/>
        <family val="2"/>
      </rPr>
      <t xml:space="preserve"> Before using, start by making an uncorrupted backup copy of this spreadsheet.</t>
    </r>
  </si>
  <si>
    <r>
      <t xml:space="preserve">In Team Data, enter team numbers and names in the order of arrival on site, and press </t>
    </r>
    <r>
      <rPr>
        <b/>
        <sz val="12"/>
        <rFont val="Arial"/>
        <family val="2"/>
      </rPr>
      <t>Enter</t>
    </r>
    <r>
      <rPr>
        <sz val="12"/>
        <rFont val="Arial"/>
        <family val="2"/>
      </rPr>
      <t>.  If the number of teams at the tournament is not a multiple of 4, substitute teams should be found or prepared to stand in and play (for no score) as needed. Create placeholder team names and enter zeros for their scores as needed.</t>
    </r>
  </si>
  <si>
    <r>
      <t xml:space="preserve">For each tally from the Scoring Worksheet, enter the score in the appropriate green box in Score Entry And Standings for the correct team in the correct round.  Be sure to press </t>
    </r>
    <r>
      <rPr>
        <b/>
        <sz val="12"/>
        <rFont val="Arial"/>
        <family val="2"/>
      </rPr>
      <t>Enter</t>
    </r>
    <r>
      <rPr>
        <sz val="12"/>
        <rFont val="Arial"/>
        <family val="2"/>
      </rPr>
      <t xml:space="preserve"> after every score.</t>
    </r>
  </si>
  <si>
    <r>
      <t xml:space="preserve">After the scores from ALL rounds have been entered, type </t>
    </r>
    <r>
      <rPr>
        <b/>
        <sz val="12"/>
        <rFont val="Arial"/>
        <family val="2"/>
      </rPr>
      <t>Ctrl+A</t>
    </r>
    <r>
      <rPr>
        <sz val="12"/>
        <rFont val="Arial"/>
        <family val="2"/>
      </rPr>
      <t xml:space="preserve">, or click the </t>
    </r>
    <r>
      <rPr>
        <b/>
        <sz val="12"/>
        <rFont val="Arial"/>
        <family val="2"/>
      </rPr>
      <t>Final Rankings</t>
    </r>
    <r>
      <rPr>
        <sz val="12"/>
        <rFont val="Arial"/>
        <family val="2"/>
      </rPr>
      <t xml:space="preserve"> button.  The spreadsheet will sort data and post the robot performance ranks in </t>
    </r>
    <r>
      <rPr>
        <b/>
        <sz val="12"/>
        <rFont val="Arial"/>
        <family val="2"/>
      </rPr>
      <t>column T</t>
    </r>
    <r>
      <rPr>
        <sz val="12"/>
        <rFont val="Arial"/>
        <family val="2"/>
      </rPr>
      <t xml:space="preserve"> (scroll to the right, past the black background).</t>
    </r>
  </si>
  <si>
    <t>Printable Scoresheet</t>
  </si>
  <si>
    <r>
      <t xml:space="preserve">Before the tournament, print the </t>
    </r>
    <r>
      <rPr>
        <b/>
        <sz val="12"/>
        <color rgb="FFFF0000"/>
        <rFont val="Arial"/>
        <family val="2"/>
      </rPr>
      <t xml:space="preserve">Ref Scoresheet </t>
    </r>
    <r>
      <rPr>
        <sz val="12"/>
        <rFont val="Arial"/>
        <family val="2"/>
      </rPr>
      <t>(one copy per team per round, plus extras) and give them to the referees on clip boards.</t>
    </r>
  </si>
  <si>
    <t>When a referee hands in a Scoresheet, click and type as needed on the Scoring Worksheet to match it exactly.</t>
  </si>
  <si>
    <t>FIRST LEGO League Challenge BIOGLOW</t>
  </si>
  <si>
    <t>Click on the web link below to download and print the BIOGLOW Software Scorehseet. Printable Scorehseets can be found on the Season Resources Page under FLL Challenge &gt; Judging and Scoring Materials.</t>
  </si>
  <si>
    <t>The drone is no longer touching the mat:</t>
  </si>
  <si>
    <t xml:space="preserve">Number of seeds no longer touching the stalk: </t>
  </si>
  <si>
    <t xml:space="preserve">The research flag is down: </t>
  </si>
  <si>
    <t>Number of leaves no longer touching the nest:</t>
  </si>
  <si>
    <t xml:space="preserve">The katydid is completely in the leaf habitat: </t>
  </si>
  <si>
    <t xml:space="preserve">The plant root is extended: </t>
  </si>
  <si>
    <t xml:space="preserve">The ant is touching the nest: </t>
  </si>
  <si>
    <t>The vine is touching the mat:</t>
  </si>
  <si>
    <t>The research platform is raised:</t>
  </si>
  <si>
    <t xml:space="preserve">The camera trap is deployed: </t>
  </si>
  <si>
    <t>The seed is no longer touching the tree:</t>
  </si>
  <si>
    <t>The spider habitat is in its original starting position:</t>
  </si>
  <si>
    <t>The snail habitat is in its original starting position:</t>
  </si>
  <si>
    <t>The root cover is down, touching the mat:</t>
  </si>
  <si>
    <t xml:space="preserve">The cane is completely raised, touching the tree: </t>
  </si>
  <si>
    <t xml:space="preserve">The support tie is around the post: </t>
  </si>
  <si>
    <t>Your keystone species is on the restoration platform, and the young trees are raised:</t>
  </si>
  <si>
    <t>Number of seeds contained within the replantation station:</t>
  </si>
  <si>
    <t xml:space="preserve">The nesting canopy is raised: </t>
  </si>
  <si>
    <t>The garden skylight is completely in:</t>
  </si>
  <si>
    <t xml:space="preserve">The compost hatch is completely opened, touching the mat: </t>
  </si>
  <si>
    <r>
      <rPr>
        <b/>
        <sz val="11"/>
        <rFont val="Calibri"/>
        <family val="2"/>
        <scheme val="minor"/>
      </rPr>
      <t>Bonus:</t>
    </r>
    <r>
      <rPr>
        <sz val="11"/>
        <rFont val="Calibri"/>
        <family val="2"/>
        <scheme val="minor"/>
      </rPr>
      <t xml:space="preserve"> and the LiDAR map is completely flipped over, with the scan 
marker at least partly in the survey area:</t>
    </r>
  </si>
  <si>
    <r>
      <rPr>
        <b/>
        <sz val="11"/>
        <rFont val="Calibri"/>
        <family val="2"/>
        <scheme val="minor"/>
      </rPr>
      <t>Bonus:</t>
    </r>
    <r>
      <rPr>
        <sz val="11"/>
        <rFont val="Calibri"/>
        <family val="2"/>
        <scheme val="minor"/>
      </rPr>
      <t xml:space="preserve"> and touching the mat: </t>
    </r>
  </si>
  <si>
    <r>
      <rPr>
        <b/>
        <sz val="11"/>
        <rFont val="Calibri"/>
        <family val="2"/>
        <scheme val="minor"/>
      </rPr>
      <t>Bonus:</t>
    </r>
    <r>
      <rPr>
        <sz val="11"/>
        <rFont val="Calibri"/>
        <family val="2"/>
        <scheme val="minor"/>
      </rPr>
      <t xml:space="preserve"> and the rock has been returned to its original starting position:</t>
    </r>
  </si>
  <si>
    <r>
      <t>(</t>
    </r>
    <r>
      <rPr>
        <b/>
        <sz val="11"/>
        <rFont val="Calibri"/>
        <family val="2"/>
        <scheme val="minor"/>
      </rPr>
      <t>Prematch</t>
    </r>
    <r>
      <rPr>
        <sz val="11"/>
        <rFont val="Calibri"/>
        <family val="2"/>
        <scheme val="minor"/>
      </rPr>
      <t>) The robot and all equipment fit completely in one launch area 
and under the height limit:</t>
    </r>
  </si>
  <si>
    <t xml:space="preserve">The mycelium is completely extended: </t>
  </si>
  <si>
    <r>
      <rPr>
        <b/>
        <sz val="11"/>
        <rFont val="Calibri"/>
        <family val="2"/>
      </rPr>
      <t>Bonus:</t>
    </r>
    <r>
      <rPr>
        <sz val="11"/>
        <rFont val="Calibri"/>
        <family val="2"/>
      </rPr>
      <t xml:space="preserve"> and the katydid remained in its original position throughout the match:</t>
    </r>
  </si>
  <si>
    <t xml:space="preserve">Number of leaf fragments contained within the nest: </t>
  </si>
  <si>
    <r>
      <rPr>
        <b/>
        <sz val="11"/>
        <rFont val="Calibri"/>
        <family val="2"/>
        <scheme val="minor"/>
      </rPr>
      <t xml:space="preserve">Bonus: </t>
    </r>
    <r>
      <rPr>
        <sz val="11"/>
        <rFont val="Calibri"/>
        <family val="2"/>
        <scheme val="minor"/>
      </rPr>
      <t>Number of connections formed between one team’s extended mycelium 
and the opposing team’s fully extended plant root:</t>
    </r>
  </si>
  <si>
    <t>Dock location:</t>
  </si>
  <si>
    <t>BIOGLOW Founders Edition - Robot Game Scoresheet</t>
  </si>
  <si>
    <r>
      <t>(</t>
    </r>
    <r>
      <rPr>
        <b/>
        <sz val="11"/>
        <color theme="1"/>
        <rFont val="Calibri"/>
        <family val="2"/>
        <scheme val="minor"/>
      </rPr>
      <t>Precision Tokens</t>
    </r>
    <r>
      <rPr>
        <sz val="11"/>
        <color theme="1"/>
        <rFont val="Calibri"/>
        <family val="2"/>
        <scheme val="minor"/>
      </rPr>
      <t>) Number of precision tokens remaining: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</si>
</sst>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b/>
      <sz val="10"/>
      <color indexed="10"/>
      <name val="Arial"/>
      <family val="2"/>
    </font>
    <font>
      <sz val="14"/>
      <name val="Arial"/>
      <family val="2"/>
    </font>
    <font>
      <b/>
      <sz val="12"/>
      <name val="Arial"/>
      <family val="2"/>
    </font>
    <font>
      <b/>
      <sz val="10"/>
      <name val="Arial"/>
      <family val="2"/>
    </font>
    <font>
      <b/>
      <sz val="18"/>
      <color indexed="8"/>
      <name val="Arial"/>
      <family val="2"/>
    </font>
    <font>
      <sz val="10"/>
      <color indexed="10"/>
      <name val="Arial"/>
      <family val="2"/>
    </font>
    <font>
      <b/>
      <i/>
      <sz val="18"/>
      <name val="Arial"/>
      <family val="2"/>
    </font>
    <font>
      <b/>
      <i/>
      <sz val="18"/>
      <color indexed="8"/>
      <name val="Arial"/>
      <family val="2"/>
    </font>
    <font>
      <sz val="10"/>
      <color indexed="11"/>
      <name val="Arial"/>
      <family val="2"/>
    </font>
    <font>
      <b/>
      <sz val="10"/>
      <color indexed="14"/>
      <name val="Arial"/>
      <family val="2"/>
    </font>
    <font>
      <sz val="10"/>
      <name val="Arial"/>
      <family val="2"/>
    </font>
    <font>
      <sz val="10"/>
      <color indexed="12"/>
      <name val="Arial"/>
      <family val="2"/>
    </font>
    <font>
      <sz val="14"/>
      <color indexed="10"/>
      <name val="Arial"/>
      <family val="2"/>
    </font>
    <font>
      <b/>
      <sz val="16"/>
      <name val="Arial"/>
      <family val="2"/>
    </font>
    <font>
      <b/>
      <i/>
      <sz val="16"/>
      <name val="Arial"/>
      <family val="2"/>
    </font>
    <font>
      <b/>
      <sz val="10"/>
      <color indexed="9"/>
      <name val="Arial"/>
      <family val="2"/>
    </font>
    <font>
      <b/>
      <sz val="16"/>
      <color indexed="10"/>
      <name val="Arial"/>
      <family val="2"/>
    </font>
    <font>
      <b/>
      <sz val="12"/>
      <color indexed="10"/>
      <name val="Arial"/>
      <family val="2"/>
    </font>
    <font>
      <sz val="10"/>
      <color indexed="55"/>
      <name val="Arial"/>
      <family val="2"/>
    </font>
    <font>
      <sz val="14"/>
      <color indexed="55"/>
      <name val="Arial"/>
      <family val="2"/>
    </font>
    <font>
      <b/>
      <sz val="18"/>
      <color indexed="9"/>
      <name val="Arial"/>
      <family val="2"/>
    </font>
    <font>
      <sz val="8"/>
      <name val="Arial"/>
      <family val="2"/>
    </font>
    <font>
      <b/>
      <sz val="13"/>
      <name val="Arial"/>
      <family val="2"/>
    </font>
    <font>
      <b/>
      <sz val="13"/>
      <color indexed="10"/>
      <name val="Arial"/>
      <family val="2"/>
    </font>
    <font>
      <b/>
      <sz val="13"/>
      <color indexed="8"/>
      <name val="Arial"/>
      <family val="2"/>
    </font>
    <font>
      <sz val="12"/>
      <name val="Arial"/>
      <family val="2"/>
    </font>
    <font>
      <b/>
      <sz val="22"/>
      <name val="Arial"/>
      <family val="2"/>
    </font>
    <font>
      <b/>
      <sz val="10"/>
      <color rgb="FFFF0000"/>
      <name val="Arial"/>
      <family val="2"/>
    </font>
    <font>
      <b/>
      <sz val="14"/>
      <color rgb="FFFF0000"/>
      <name val="Arial"/>
      <family val="2"/>
    </font>
    <font>
      <u/>
      <sz val="10"/>
      <color theme="10"/>
      <name val="Arial"/>
      <family val="2"/>
    </font>
    <font>
      <u/>
      <sz val="10"/>
      <color theme="11"/>
      <name val="Arial"/>
      <family val="2"/>
    </font>
    <font>
      <sz val="12"/>
      <color theme="1"/>
      <name val="Calibri"/>
      <family val="2"/>
      <scheme val="minor"/>
    </font>
    <font>
      <sz val="8"/>
      <color rgb="FF000000"/>
      <name val="Segoe UI"/>
      <family val="2"/>
    </font>
    <font>
      <sz val="18"/>
      <color theme="1"/>
      <name val="Calibri"/>
      <family val="2"/>
      <scheme val="minor"/>
    </font>
    <font>
      <sz val="6"/>
      <color rgb="FF2E2E30"/>
      <name val="Arial"/>
      <family val="2"/>
    </font>
    <font>
      <b/>
      <sz val="20"/>
      <color theme="1"/>
      <name val="Calibri"/>
      <family val="2"/>
      <scheme val="minor"/>
    </font>
    <font>
      <sz val="11"/>
      <color rgb="FF006100"/>
      <name val="Calibri"/>
      <family val="2"/>
      <scheme val="minor"/>
    </font>
    <font>
      <sz val="11"/>
      <name val="Calibri"/>
      <family val="2"/>
      <scheme val="minor"/>
    </font>
    <font>
      <b/>
      <sz val="14"/>
      <color rgb="FF000000"/>
      <name val="Arial"/>
      <family val="2"/>
    </font>
    <font>
      <sz val="11"/>
      <name val="Calibri"/>
      <family val="2"/>
    </font>
    <font>
      <sz val="11"/>
      <color rgb="FF000000"/>
      <name val="Calibri"/>
      <family val="2"/>
    </font>
    <font>
      <b/>
      <sz val="12"/>
      <color rgb="FFFF0000"/>
      <name val="Arial"/>
      <family val="2"/>
    </font>
    <font>
      <u/>
      <sz val="12"/>
      <color theme="10"/>
      <name val="Arial"/>
      <family val="2"/>
    </font>
    <font>
      <sz val="16"/>
      <color theme="1"/>
      <name val="Calibri"/>
      <family val="2"/>
      <scheme val="minor"/>
    </font>
    <font>
      <sz val="16"/>
      <color rgb="FF2E2E30"/>
      <name val="Arial"/>
      <family val="2"/>
    </font>
    <font>
      <b/>
      <sz val="11"/>
      <name val="Calibri"/>
      <family val="2"/>
      <scheme val="minor"/>
    </font>
    <font>
      <b/>
      <sz val="11"/>
      <name val="Calibri"/>
      <family val="2"/>
    </font>
    <font>
      <b/>
      <sz val="18"/>
      <color theme="1"/>
      <name val="Calibri"/>
      <family val="2"/>
      <scheme val="minor"/>
    </font>
    <font>
      <b/>
      <sz val="11"/>
      <color theme="1"/>
      <name val="Calibri"/>
      <family val="2"/>
      <scheme val="minor"/>
    </font>
  </fonts>
  <fills count="11">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theme="0" tint="-0.249977111117893"/>
        <bgColor indexed="64"/>
      </patternFill>
    </fill>
    <fill>
      <patternFill patternType="solid">
        <fgColor rgb="FFC6EFCE"/>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49">
    <border>
      <left/>
      <right/>
      <top/>
      <bottom/>
      <diagonal/>
    </border>
    <border>
      <left style="thick">
        <color auto="1"/>
      </left>
      <right/>
      <top/>
      <bottom style="medium">
        <color auto="1"/>
      </bottom>
      <diagonal/>
    </border>
    <border>
      <left style="thin">
        <color auto="1"/>
      </left>
      <right/>
      <top/>
      <bottom style="medium">
        <color auto="1"/>
      </bottom>
      <diagonal/>
    </border>
    <border>
      <left style="thin">
        <color auto="1"/>
      </left>
      <right style="thick">
        <color auto="1"/>
      </right>
      <top/>
      <bottom style="medium">
        <color auto="1"/>
      </bottom>
      <diagonal/>
    </border>
    <border>
      <left style="medium">
        <color auto="1"/>
      </left>
      <right/>
      <top/>
      <bottom style="medium">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auto="1"/>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style="medium">
        <color auto="1"/>
      </top>
      <bottom style="medium">
        <color auto="1"/>
      </bottom>
      <diagonal/>
    </border>
    <border>
      <left/>
      <right/>
      <top style="thick">
        <color auto="1"/>
      </top>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style="thick">
        <color auto="1"/>
      </left>
      <right/>
      <top/>
      <bottom style="thin">
        <color auto="1"/>
      </bottom>
      <diagonal/>
    </border>
    <border>
      <left style="thin">
        <color auto="1"/>
      </left>
      <right style="thick">
        <color auto="1"/>
      </right>
      <top/>
      <bottom style="thin">
        <color auto="1"/>
      </bottom>
      <diagonal/>
    </border>
    <border>
      <left style="thick">
        <color auto="1"/>
      </left>
      <right/>
      <top style="thin">
        <color auto="1"/>
      </top>
      <bottom/>
      <diagonal/>
    </border>
    <border>
      <left style="thin">
        <color auto="1"/>
      </left>
      <right style="thick">
        <color auto="1"/>
      </right>
      <top style="thin">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thick">
        <color auto="1"/>
      </left>
      <right style="thick">
        <color auto="1"/>
      </right>
      <top/>
      <bottom style="thick">
        <color auto="1"/>
      </bottom>
      <diagonal/>
    </border>
    <border>
      <left style="thick">
        <color auto="1"/>
      </left>
      <right style="thick">
        <color auto="1"/>
      </right>
      <top style="thick">
        <color auto="1"/>
      </top>
      <bottom/>
      <diagonal/>
    </border>
    <border>
      <left style="thick">
        <color auto="1"/>
      </left>
      <right/>
      <top style="medium">
        <color auto="1"/>
      </top>
      <bottom style="medium">
        <color auto="1"/>
      </bottom>
      <diagonal/>
    </border>
    <border>
      <left/>
      <right style="thick">
        <color auto="1"/>
      </right>
      <top style="medium">
        <color auto="1"/>
      </top>
      <bottom style="medium">
        <color auto="1"/>
      </bottom>
      <diagonal/>
    </border>
    <border>
      <left style="medium">
        <color auto="1"/>
      </left>
      <right/>
      <top style="medium">
        <color auto="1"/>
      </top>
      <bottom style="medium">
        <color auto="1"/>
      </bottom>
      <diagonal/>
    </border>
    <border>
      <left/>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bottom/>
      <diagonal/>
    </border>
    <border>
      <left style="medium">
        <color auto="1"/>
      </left>
      <right style="medium">
        <color auto="1"/>
      </right>
      <top/>
      <bottom/>
      <diagonal/>
    </border>
    <border>
      <left style="medium">
        <color auto="1"/>
      </left>
      <right style="medium">
        <color auto="1"/>
      </right>
      <top style="dashDot">
        <color auto="1"/>
      </top>
      <bottom style="dashDot">
        <color auto="1"/>
      </bottom>
      <diagonal/>
    </border>
    <border>
      <left style="medium">
        <color auto="1"/>
      </left>
      <right style="medium">
        <color auto="1"/>
      </right>
      <top style="dashDotDot">
        <color auto="1"/>
      </top>
      <bottom style="medium">
        <color auto="1"/>
      </bottom>
      <diagonal/>
    </border>
    <border>
      <left style="medium">
        <color auto="1"/>
      </left>
      <right/>
      <top style="dashDotDot">
        <color auto="1"/>
      </top>
      <bottom style="medium">
        <color auto="1"/>
      </bottom>
      <diagonal/>
    </border>
    <border>
      <left style="medium">
        <color auto="1"/>
      </left>
      <right style="medium">
        <color auto="1"/>
      </right>
      <top style="dashDotDot">
        <color auto="1"/>
      </top>
      <bottom/>
      <diagonal/>
    </border>
    <border>
      <left style="medium">
        <color auto="1"/>
      </left>
      <right style="medium">
        <color auto="1"/>
      </right>
      <top style="dashDotDot">
        <color auto="1"/>
      </top>
      <bottom style="dashDotDot">
        <color auto="1"/>
      </bottom>
      <diagonal/>
    </border>
    <border>
      <left style="medium">
        <color auto="1"/>
      </left>
      <right/>
      <top style="dashDotDot">
        <color auto="1"/>
      </top>
      <bottom style="dashDotDot">
        <color auto="1"/>
      </bottom>
      <diagonal/>
    </border>
    <border>
      <left style="medium">
        <color auto="1"/>
      </left>
      <right/>
      <top style="dashDotDot">
        <color auto="1"/>
      </top>
      <bottom/>
      <diagonal/>
    </border>
  </borders>
  <cellStyleXfs count="49">
    <xf numFmtId="0" fontId="0" fillId="0" borderId="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0" borderId="0"/>
    <xf numFmtId="0" fontId="4" fillId="0" borderId="0"/>
    <xf numFmtId="0" fontId="43" fillId="6" borderId="0" applyNumberFormat="0" applyBorder="0" applyAlignment="0" applyProtection="0"/>
    <xf numFmtId="0" fontId="36" fillId="0" borderId="0" applyNumberFormat="0" applyFill="0" applyBorder="0" applyAlignment="0" applyProtection="0"/>
  </cellStyleXfs>
  <cellXfs count="209">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xf>
    <xf numFmtId="0" fontId="17" fillId="0" borderId="0" xfId="0" applyFont="1" applyAlignment="1">
      <alignment horizontal="center" vertical="center"/>
    </xf>
    <xf numFmtId="0" fontId="12" fillId="0" borderId="0" xfId="0" applyFont="1" applyAlignment="1">
      <alignment horizontal="center" vertical="center"/>
    </xf>
    <xf numFmtId="0" fontId="8" fillId="0" borderId="0" xfId="0" applyFont="1" applyAlignment="1">
      <alignment horizontal="center" vertical="center"/>
    </xf>
    <xf numFmtId="0" fontId="19" fillId="0" borderId="0" xfId="0" applyFont="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2" borderId="3" xfId="0" applyFont="1" applyFill="1" applyBorder="1" applyAlignment="1">
      <alignment horizontal="center" vertical="center"/>
    </xf>
    <xf numFmtId="0" fontId="17" fillId="0" borderId="5" xfId="0" applyFont="1" applyBorder="1" applyAlignment="1">
      <alignment horizontal="center" vertical="center"/>
    </xf>
    <xf numFmtId="0" fontId="12" fillId="0" borderId="6" xfId="0" applyFont="1" applyBorder="1" applyAlignment="1">
      <alignment horizontal="center" vertical="center"/>
    </xf>
    <xf numFmtId="0" fontId="12" fillId="0" borderId="5" xfId="0" applyFont="1" applyBorder="1" applyAlignment="1">
      <alignment horizontal="center" vertical="center"/>
    </xf>
    <xf numFmtId="1" fontId="12" fillId="0" borderId="0" xfId="0" applyNumberFormat="1" applyFont="1" applyAlignment="1">
      <alignment horizontal="center" vertical="center"/>
    </xf>
    <xf numFmtId="1" fontId="17" fillId="0" borderId="0" xfId="0" applyNumberFormat="1" applyFont="1" applyAlignment="1">
      <alignment horizontal="center" vertical="center"/>
    </xf>
    <xf numFmtId="0" fontId="0" fillId="0" borderId="5" xfId="0" applyBorder="1" applyAlignment="1">
      <alignment horizontal="center" vertical="center"/>
    </xf>
    <xf numFmtId="1" fontId="12" fillId="0" borderId="7" xfId="0" applyNumberFormat="1" applyFont="1" applyBorder="1" applyAlignment="1">
      <alignment horizontal="center" vertical="center"/>
    </xf>
    <xf numFmtId="1" fontId="17" fillId="0" borderId="8" xfId="0" applyNumberFormat="1" applyFont="1" applyBorder="1" applyAlignment="1">
      <alignment horizontal="center" vertical="center"/>
    </xf>
    <xf numFmtId="0" fontId="7" fillId="0" borderId="0" xfId="0" applyFont="1" applyAlignment="1">
      <alignment horizontal="right" vertical="center"/>
    </xf>
    <xf numFmtId="1" fontId="12" fillId="0" borderId="8" xfId="0" applyNumberFormat="1" applyFont="1" applyBorder="1" applyAlignment="1">
      <alignment horizontal="center" vertical="center"/>
    </xf>
    <xf numFmtId="1" fontId="17" fillId="0" borderId="9" xfId="0" applyNumberFormat="1" applyFont="1" applyBorder="1" applyAlignment="1">
      <alignment horizontal="center" vertical="center"/>
    </xf>
    <xf numFmtId="1" fontId="12" fillId="0" borderId="10" xfId="0" applyNumberFormat="1" applyFont="1" applyBorder="1" applyAlignment="1">
      <alignment horizontal="center" vertical="center"/>
    </xf>
    <xf numFmtId="1" fontId="17" fillId="0" borderId="11" xfId="0" applyNumberFormat="1" applyFont="1" applyBorder="1" applyAlignment="1">
      <alignment horizontal="center" vertical="center"/>
    </xf>
    <xf numFmtId="1" fontId="0" fillId="0" borderId="0" xfId="0" applyNumberFormat="1" applyAlignment="1">
      <alignment horizontal="center" vertical="center"/>
    </xf>
    <xf numFmtId="1" fontId="17" fillId="0" borderId="7" xfId="0" applyNumberFormat="1" applyFont="1" applyBorder="1" applyAlignment="1">
      <alignment horizontal="center" vertical="center"/>
    </xf>
    <xf numFmtId="1" fontId="0" fillId="0" borderId="12" xfId="0" applyNumberFormat="1" applyBorder="1" applyAlignment="1">
      <alignment horizontal="center" vertical="center"/>
    </xf>
    <xf numFmtId="1" fontId="17" fillId="0" borderId="12" xfId="0" applyNumberFormat="1" applyFont="1" applyBorder="1" applyAlignment="1">
      <alignment horizontal="center" vertical="center"/>
    </xf>
    <xf numFmtId="1" fontId="12" fillId="0" borderId="6" xfId="0" applyNumberFormat="1" applyFont="1" applyBorder="1" applyAlignment="1">
      <alignment horizontal="center" vertical="center"/>
    </xf>
    <xf numFmtId="1" fontId="17" fillId="0" borderId="13" xfId="0" applyNumberFormat="1" applyFont="1" applyBorder="1" applyAlignment="1">
      <alignment horizontal="center" vertical="center"/>
    </xf>
    <xf numFmtId="1" fontId="17" fillId="0" borderId="6" xfId="0" applyNumberFormat="1" applyFont="1" applyBorder="1" applyAlignment="1">
      <alignment horizontal="center" vertical="center"/>
    </xf>
    <xf numFmtId="1" fontId="0" fillId="0" borderId="0" xfId="0" applyNumberFormat="1" applyAlignment="1">
      <alignment vertical="center"/>
    </xf>
    <xf numFmtId="1" fontId="5" fillId="0" borderId="1" xfId="0" applyNumberFormat="1" applyFont="1" applyBorder="1" applyAlignment="1">
      <alignment horizontal="center" vertical="center"/>
    </xf>
    <xf numFmtId="0" fontId="5" fillId="0" borderId="2" xfId="0" applyFont="1" applyBorder="1" applyAlignment="1">
      <alignment horizontal="center" vertical="center"/>
    </xf>
    <xf numFmtId="0" fontId="5" fillId="2" borderId="3" xfId="0" applyFont="1" applyFill="1" applyBorder="1" applyAlignment="1">
      <alignment horizontal="center" vertical="center"/>
    </xf>
    <xf numFmtId="0" fontId="5" fillId="0" borderId="4" xfId="0" applyFont="1" applyBorder="1" applyAlignment="1">
      <alignment horizontal="center" vertical="center"/>
    </xf>
    <xf numFmtId="0" fontId="5" fillId="0" borderId="3" xfId="0" applyFont="1" applyBorder="1" applyAlignment="1">
      <alignment horizontal="center" vertical="center"/>
    </xf>
    <xf numFmtId="1" fontId="10" fillId="0" borderId="1" xfId="0" applyNumberFormat="1" applyFont="1" applyBorder="1" applyAlignment="1">
      <alignment horizontal="center" vertical="center"/>
    </xf>
    <xf numFmtId="0" fontId="12" fillId="0" borderId="0" xfId="0" applyFont="1" applyAlignment="1">
      <alignment vertical="center"/>
    </xf>
    <xf numFmtId="0" fontId="18" fillId="0" borderId="0" xfId="0" applyFont="1" applyAlignment="1">
      <alignment horizontal="center" vertical="center"/>
    </xf>
    <xf numFmtId="1" fontId="0" fillId="0" borderId="9" xfId="0" applyNumberFormat="1" applyBorder="1" applyAlignment="1">
      <alignment horizontal="center" vertical="center"/>
    </xf>
    <xf numFmtId="1" fontId="16" fillId="0" borderId="0" xfId="0" applyNumberFormat="1" applyFont="1" applyAlignment="1">
      <alignment horizontal="left" vertical="center"/>
    </xf>
    <xf numFmtId="0" fontId="15" fillId="0" borderId="0" xfId="0" applyFont="1"/>
    <xf numFmtId="0" fontId="15" fillId="0" borderId="0" xfId="0" applyFont="1" applyAlignment="1">
      <alignment horizontal="left" wrapText="1"/>
    </xf>
    <xf numFmtId="0" fontId="17" fillId="3" borderId="14" xfId="0" applyFont="1" applyFill="1" applyBorder="1" applyAlignment="1">
      <alignment horizontal="left" vertical="center" wrapText="1"/>
    </xf>
    <xf numFmtId="0" fontId="12" fillId="0" borderId="7" xfId="0" applyFont="1" applyBorder="1" applyAlignment="1">
      <alignment horizontal="center" vertical="center"/>
    </xf>
    <xf numFmtId="0" fontId="0" fillId="0" borderId="12" xfId="0" applyBorder="1" applyAlignment="1">
      <alignment vertical="center"/>
    </xf>
    <xf numFmtId="0" fontId="0" fillId="0" borderId="13" xfId="0" applyBorder="1" applyAlignment="1">
      <alignment vertical="center"/>
    </xf>
    <xf numFmtId="0" fontId="8" fillId="0" borderId="7" xfId="0" applyFont="1" applyBorder="1" applyAlignment="1">
      <alignment horizontal="center" vertical="center"/>
    </xf>
    <xf numFmtId="0" fontId="8" fillId="0" borderId="12" xfId="0" applyFont="1" applyBorder="1" applyAlignment="1">
      <alignment horizontal="center" vertical="center"/>
    </xf>
    <xf numFmtId="0" fontId="8" fillId="0" borderId="6" xfId="0" applyFont="1" applyBorder="1" applyAlignment="1">
      <alignment horizontal="center" vertical="center"/>
    </xf>
    <xf numFmtId="0" fontId="8" fillId="0" borderId="13" xfId="0" applyFont="1" applyBorder="1" applyAlignment="1">
      <alignment horizontal="center" vertical="center"/>
    </xf>
    <xf numFmtId="0" fontId="21" fillId="3" borderId="15" xfId="0" applyFont="1" applyFill="1" applyBorder="1" applyAlignment="1">
      <alignment horizontal="left" wrapText="1"/>
    </xf>
    <xf numFmtId="0" fontId="7" fillId="0" borderId="16" xfId="0" applyFont="1" applyBorder="1" applyAlignment="1">
      <alignment horizontal="center" vertical="center"/>
    </xf>
    <xf numFmtId="1" fontId="7" fillId="0" borderId="0" xfId="0" applyNumberFormat="1" applyFont="1" applyAlignment="1">
      <alignment horizontal="center" vertical="center"/>
    </xf>
    <xf numFmtId="0" fontId="7" fillId="0" borderId="0" xfId="0" applyFont="1" applyAlignment="1">
      <alignment vertical="center"/>
    </xf>
    <xf numFmtId="0" fontId="23" fillId="0" borderId="17" xfId="0" applyFont="1" applyBorder="1" applyAlignment="1">
      <alignment horizontal="center" vertical="center"/>
    </xf>
    <xf numFmtId="0" fontId="9" fillId="0" borderId="0" xfId="0" applyFont="1" applyAlignment="1">
      <alignment horizontal="center" vertical="center"/>
    </xf>
    <xf numFmtId="1" fontId="17" fillId="0" borderId="18" xfId="0" applyNumberFormat="1" applyFont="1" applyBorder="1" applyAlignment="1">
      <alignment horizontal="center" vertical="center"/>
    </xf>
    <xf numFmtId="1" fontId="17" fillId="0" borderId="5" xfId="0" applyNumberFormat="1" applyFont="1" applyBorder="1" applyAlignment="1">
      <alignment horizontal="center" vertical="center"/>
    </xf>
    <xf numFmtId="0" fontId="0" fillId="3" borderId="0" xfId="0" applyFill="1" applyAlignment="1">
      <alignment vertical="center"/>
    </xf>
    <xf numFmtId="0" fontId="0" fillId="3" borderId="0" xfId="0" applyFill="1"/>
    <xf numFmtId="0" fontId="0" fillId="3" borderId="19" xfId="0" applyFill="1" applyBorder="1" applyAlignment="1">
      <alignment horizontal="centerContinuous" vertical="center"/>
    </xf>
    <xf numFmtId="0" fontId="0" fillId="3" borderId="0" xfId="0" applyFill="1" applyAlignment="1">
      <alignment horizontal="center" vertical="center"/>
    </xf>
    <xf numFmtId="0" fontId="0" fillId="3" borderId="0" xfId="0" applyFill="1" applyAlignment="1">
      <alignment horizontal="left" vertical="center"/>
    </xf>
    <xf numFmtId="0" fontId="8" fillId="3" borderId="0" xfId="0" applyFont="1" applyFill="1" applyAlignment="1">
      <alignment horizontal="center" vertical="center"/>
    </xf>
    <xf numFmtId="0" fontId="8" fillId="3" borderId="0" xfId="0" applyFont="1" applyFill="1" applyAlignment="1">
      <alignment horizontal="left" vertical="center"/>
    </xf>
    <xf numFmtId="1" fontId="0" fillId="3" borderId="0" xfId="0" applyNumberFormat="1" applyFill="1" applyAlignment="1">
      <alignment horizontal="center" vertical="center"/>
    </xf>
    <xf numFmtId="1" fontId="0" fillId="3" borderId="20" xfId="0" applyNumberFormat="1" applyFill="1" applyBorder="1" applyAlignment="1">
      <alignment vertical="center"/>
    </xf>
    <xf numFmtId="0" fontId="0" fillId="3" borderId="20" xfId="0" applyFill="1" applyBorder="1" applyAlignment="1">
      <alignment vertical="center"/>
    </xf>
    <xf numFmtId="0" fontId="0" fillId="3" borderId="20" xfId="0" applyFill="1" applyBorder="1"/>
    <xf numFmtId="0" fontId="25" fillId="3" borderId="0" xfId="0" applyFont="1" applyFill="1" applyAlignment="1">
      <alignment horizontal="center" vertical="center"/>
    </xf>
    <xf numFmtId="0" fontId="26" fillId="3" borderId="0" xfId="0" applyFont="1" applyFill="1" applyAlignment="1">
      <alignment vertical="center"/>
    </xf>
    <xf numFmtId="0" fontId="26" fillId="3" borderId="0" xfId="0" applyFont="1" applyFill="1" applyAlignment="1">
      <alignment horizontal="center" vertical="center"/>
    </xf>
    <xf numFmtId="0" fontId="25" fillId="3" borderId="0" xfId="0" applyFont="1" applyFill="1" applyAlignment="1">
      <alignment vertical="center"/>
    </xf>
    <xf numFmtId="0" fontId="25" fillId="0" borderId="0" xfId="0" applyFont="1" applyAlignment="1">
      <alignment vertical="center"/>
    </xf>
    <xf numFmtId="0" fontId="25" fillId="0" borderId="0" xfId="0" applyFont="1" applyAlignment="1">
      <alignment horizontal="center" vertical="center"/>
    </xf>
    <xf numFmtId="0" fontId="15" fillId="3" borderId="0" xfId="0" applyFont="1" applyFill="1"/>
    <xf numFmtId="0" fontId="15" fillId="3" borderId="0" xfId="0" applyFont="1" applyFill="1" applyAlignment="1">
      <alignment horizontal="left" wrapText="1"/>
    </xf>
    <xf numFmtId="0" fontId="27" fillId="3" borderId="0" xfId="0" applyFont="1" applyFill="1"/>
    <xf numFmtId="0" fontId="5" fillId="3" borderId="0" xfId="0" applyFont="1" applyFill="1"/>
    <xf numFmtId="0" fontId="22" fillId="3" borderId="21" xfId="0" applyFont="1" applyFill="1" applyBorder="1" applyAlignment="1">
      <alignment horizontal="center"/>
    </xf>
    <xf numFmtId="0" fontId="22" fillId="3" borderId="22" xfId="0" applyFont="1" applyFill="1" applyBorder="1" applyAlignment="1">
      <alignment horizontal="centerContinuous"/>
    </xf>
    <xf numFmtId="0" fontId="0" fillId="3" borderId="23" xfId="0" applyFill="1" applyBorder="1"/>
    <xf numFmtId="1" fontId="29" fillId="0" borderId="24" xfId="0" applyNumberFormat="1" applyFont="1" applyBorder="1" applyAlignment="1">
      <alignment horizontal="center" vertical="center"/>
    </xf>
    <xf numFmtId="1" fontId="29" fillId="4" borderId="6" xfId="0" applyNumberFormat="1" applyFont="1" applyFill="1" applyBorder="1" applyAlignment="1" applyProtection="1">
      <alignment horizontal="center" vertical="center"/>
      <protection locked="0"/>
    </xf>
    <xf numFmtId="0" fontId="30" fillId="2" borderId="25" xfId="0" applyFont="1" applyFill="1" applyBorder="1" applyAlignment="1">
      <alignment horizontal="center" vertical="center"/>
    </xf>
    <xf numFmtId="1" fontId="29" fillId="0" borderId="26" xfId="0" applyNumberFormat="1" applyFont="1" applyBorder="1" applyAlignment="1">
      <alignment horizontal="center" vertical="center"/>
    </xf>
    <xf numFmtId="0" fontId="30" fillId="2" borderId="27" xfId="0" applyFont="1" applyFill="1" applyBorder="1" applyAlignment="1">
      <alignment horizontal="center" vertical="center"/>
    </xf>
    <xf numFmtId="0" fontId="29" fillId="0" borderId="24" xfId="0" applyFont="1" applyBorder="1" applyAlignment="1">
      <alignment horizontal="center" vertical="center"/>
    </xf>
    <xf numFmtId="0" fontId="29" fillId="0" borderId="26" xfId="0" applyFont="1" applyBorder="1" applyAlignment="1">
      <alignment horizontal="center" vertical="center"/>
    </xf>
    <xf numFmtId="0" fontId="17" fillId="0" borderId="0" xfId="0" applyFont="1"/>
    <xf numFmtId="0" fontId="28" fillId="0" borderId="0" xfId="0" applyFont="1" applyAlignment="1">
      <alignment vertical="center"/>
    </xf>
    <xf numFmtId="0" fontId="28" fillId="0" borderId="0" xfId="0" applyFont="1" applyAlignment="1">
      <alignment horizontal="center" vertical="center"/>
    </xf>
    <xf numFmtId="0" fontId="0" fillId="0" borderId="16" xfId="0" applyBorder="1" applyAlignment="1">
      <alignment horizontal="center" vertical="center"/>
    </xf>
    <xf numFmtId="1" fontId="0" fillId="0" borderId="13" xfId="0" applyNumberFormat="1" applyBorder="1" applyAlignment="1">
      <alignment horizontal="center" vertical="center"/>
    </xf>
    <xf numFmtId="0" fontId="17" fillId="0" borderId="0" xfId="0" applyFont="1" applyAlignment="1">
      <alignment horizontal="left" vertical="center"/>
    </xf>
    <xf numFmtId="0" fontId="0" fillId="0" borderId="30" xfId="0" applyBorder="1" applyAlignment="1">
      <alignment horizontal="center" vertical="center"/>
    </xf>
    <xf numFmtId="0" fontId="0" fillId="0" borderId="17" xfId="0" applyBorder="1" applyAlignment="1">
      <alignment horizontal="center" vertical="center"/>
    </xf>
    <xf numFmtId="0" fontId="17" fillId="2" borderId="0" xfId="0" applyFont="1" applyFill="1" applyAlignment="1">
      <alignment vertical="center"/>
    </xf>
    <xf numFmtId="0" fontId="34" fillId="0" borderId="6" xfId="0" applyFont="1" applyBorder="1" applyAlignment="1">
      <alignment horizontal="center"/>
    </xf>
    <xf numFmtId="0" fontId="34" fillId="0" borderId="5" xfId="0" applyFont="1" applyBorder="1" applyAlignment="1">
      <alignment horizontal="center"/>
    </xf>
    <xf numFmtId="0" fontId="34" fillId="0" borderId="13" xfId="0" applyFont="1" applyBorder="1" applyAlignment="1">
      <alignment horizontal="center"/>
    </xf>
    <xf numFmtId="1" fontId="34" fillId="3" borderId="0" xfId="0" applyNumberFormat="1" applyFont="1" applyFill="1" applyAlignment="1">
      <alignment horizontal="right" vertical="center"/>
    </xf>
    <xf numFmtId="0" fontId="20" fillId="0" borderId="15" xfId="0" applyFont="1" applyBorder="1" applyAlignment="1">
      <alignment horizontal="left" vertical="center" wrapText="1"/>
    </xf>
    <xf numFmtId="0" fontId="35" fillId="0" borderId="0" xfId="0" applyFont="1" applyAlignment="1">
      <alignment horizontal="center" vertical="center"/>
    </xf>
    <xf numFmtId="0" fontId="6" fillId="0" borderId="0" xfId="0" applyFont="1"/>
    <xf numFmtId="0" fontId="6" fillId="0" borderId="0" xfId="0" applyFont="1" applyAlignment="1">
      <alignment vertical="center"/>
    </xf>
    <xf numFmtId="0" fontId="6" fillId="3" borderId="0" xfId="0" applyFont="1" applyFill="1"/>
    <xf numFmtId="0" fontId="6" fillId="3" borderId="0" xfId="0" applyFont="1" applyFill="1" applyAlignment="1">
      <alignment vertical="center"/>
    </xf>
    <xf numFmtId="0" fontId="6" fillId="3" borderId="0" xfId="0" applyFont="1" applyFill="1" applyAlignment="1">
      <alignment horizontal="left" wrapText="1"/>
    </xf>
    <xf numFmtId="0" fontId="6" fillId="3" borderId="0" xfId="0" applyFont="1" applyFill="1" applyAlignment="1">
      <alignment horizontal="left" vertical="center"/>
    </xf>
    <xf numFmtId="0" fontId="20" fillId="3" borderId="15" xfId="0" applyFont="1" applyFill="1" applyBorder="1" applyAlignment="1">
      <alignment horizontal="left" wrapText="1"/>
    </xf>
    <xf numFmtId="0" fontId="32" fillId="0" borderId="15" xfId="0" applyFont="1" applyBorder="1" applyAlignment="1">
      <alignment horizontal="left" vertical="center" wrapText="1"/>
    </xf>
    <xf numFmtId="0" fontId="32" fillId="0" borderId="31" xfId="0" applyFont="1" applyBorder="1" applyAlignment="1">
      <alignment horizontal="left" vertical="center" wrapText="1"/>
    </xf>
    <xf numFmtId="0" fontId="32" fillId="3" borderId="15" xfId="0" applyFont="1" applyFill="1" applyBorder="1" applyAlignment="1">
      <alignment horizontal="left" vertical="center"/>
    </xf>
    <xf numFmtId="0" fontId="32" fillId="0" borderId="32" xfId="0" applyFont="1" applyBorder="1" applyAlignment="1">
      <alignment horizontal="left" vertical="center" wrapText="1"/>
    </xf>
    <xf numFmtId="0" fontId="32" fillId="3" borderId="15" xfId="0" applyFont="1" applyFill="1" applyBorder="1" applyAlignment="1">
      <alignment horizontal="left" vertical="center" wrapText="1"/>
    </xf>
    <xf numFmtId="0" fontId="4" fillId="0" borderId="22" xfId="46" applyBorder="1"/>
    <xf numFmtId="0" fontId="4" fillId="0" borderId="39" xfId="46" applyBorder="1"/>
    <xf numFmtId="0" fontId="4" fillId="5" borderId="38" xfId="46" applyFill="1" applyBorder="1"/>
    <xf numFmtId="0" fontId="4" fillId="5" borderId="36" xfId="46" applyFill="1" applyBorder="1"/>
    <xf numFmtId="0" fontId="42" fillId="5" borderId="38" xfId="46" applyFont="1" applyFill="1" applyBorder="1" applyAlignment="1">
      <alignment horizontal="center" vertical="center"/>
    </xf>
    <xf numFmtId="0" fontId="4" fillId="5" borderId="22" xfId="46" applyFill="1" applyBorder="1"/>
    <xf numFmtId="0" fontId="42" fillId="5" borderId="38" xfId="46" applyFont="1" applyFill="1" applyBorder="1"/>
    <xf numFmtId="0" fontId="42" fillId="5" borderId="21" xfId="46" applyFont="1" applyFill="1" applyBorder="1"/>
    <xf numFmtId="0" fontId="4" fillId="5" borderId="0" xfId="46" applyFill="1"/>
    <xf numFmtId="0" fontId="41" fillId="5" borderId="0" xfId="46" applyFont="1" applyFill="1"/>
    <xf numFmtId="0" fontId="4" fillId="5" borderId="21" xfId="46" applyFill="1" applyBorder="1"/>
    <xf numFmtId="0" fontId="4" fillId="5" borderId="0" xfId="46" applyFill="1" applyAlignment="1">
      <alignment horizontal="center" vertical="center"/>
    </xf>
    <xf numFmtId="0" fontId="4" fillId="5" borderId="40" xfId="46" applyFill="1" applyBorder="1"/>
    <xf numFmtId="0" fontId="40" fillId="5" borderId="21" xfId="46" applyFont="1" applyFill="1" applyBorder="1" applyAlignment="1">
      <alignment horizontal="center" vertical="center"/>
    </xf>
    <xf numFmtId="0" fontId="40" fillId="5" borderId="22" xfId="46" applyFont="1" applyFill="1" applyBorder="1"/>
    <xf numFmtId="0" fontId="2" fillId="5" borderId="0" xfId="46" applyFont="1" applyFill="1"/>
    <xf numFmtId="0" fontId="9" fillId="0" borderId="15" xfId="0" applyFont="1" applyBorder="1" applyAlignment="1">
      <alignment horizontal="left" vertical="center" wrapText="1"/>
    </xf>
    <xf numFmtId="0" fontId="0" fillId="3" borderId="14" xfId="0" applyFill="1" applyBorder="1" applyAlignment="1">
      <alignment horizontal="left" vertical="center" wrapText="1"/>
    </xf>
    <xf numFmtId="0" fontId="48" fillId="0" borderId="15" xfId="0" applyFont="1" applyBorder="1" applyAlignment="1">
      <alignment horizontal="left" vertical="center" wrapText="1"/>
    </xf>
    <xf numFmtId="0" fontId="0" fillId="7" borderId="0" xfId="0" applyFill="1"/>
    <xf numFmtId="0" fontId="49" fillId="0" borderId="15" xfId="48" applyFont="1" applyBorder="1" applyAlignment="1">
      <alignment horizontal="left" vertical="center" wrapText="1"/>
    </xf>
    <xf numFmtId="0" fontId="44" fillId="9" borderId="37" xfId="46" applyFont="1" applyFill="1" applyBorder="1"/>
    <xf numFmtId="0" fontId="50" fillId="5" borderId="0" xfId="46" applyFont="1" applyFill="1"/>
    <xf numFmtId="0" fontId="51" fillId="5" borderId="0" xfId="46" applyFont="1" applyFill="1"/>
    <xf numFmtId="0" fontId="44" fillId="9" borderId="23" xfId="47" applyFont="1" applyFill="1" applyBorder="1" applyAlignment="1">
      <alignment vertical="center" wrapText="1"/>
    </xf>
    <xf numFmtId="0" fontId="44" fillId="9" borderId="42" xfId="47" applyFont="1" applyFill="1" applyBorder="1" applyAlignment="1">
      <alignment vertical="center" wrapText="1"/>
    </xf>
    <xf numFmtId="0" fontId="44" fillId="9" borderId="21" xfId="47" applyFont="1" applyFill="1" applyBorder="1" applyAlignment="1">
      <alignment vertical="center" wrapText="1"/>
    </xf>
    <xf numFmtId="0" fontId="44" fillId="9" borderId="42" xfId="46" applyFont="1" applyFill="1" applyBorder="1"/>
    <xf numFmtId="0" fontId="44" fillId="9" borderId="43" xfId="46" applyFont="1" applyFill="1" applyBorder="1"/>
    <xf numFmtId="0" fontId="44" fillId="9" borderId="44" xfId="47" applyFont="1" applyFill="1" applyBorder="1" applyAlignment="1">
      <alignment vertical="center" wrapText="1"/>
    </xf>
    <xf numFmtId="0" fontId="44" fillId="9" borderId="47" xfId="47" applyFont="1" applyFill="1" applyBorder="1" applyAlignment="1">
      <alignment vertical="center" wrapText="1"/>
    </xf>
    <xf numFmtId="0" fontId="44" fillId="9" borderId="46" xfId="46" applyFont="1" applyFill="1" applyBorder="1"/>
    <xf numFmtId="0" fontId="44" fillId="9" borderId="45" xfId="46" applyFont="1" applyFill="1" applyBorder="1"/>
    <xf numFmtId="0" fontId="44" fillId="9" borderId="48" xfId="47" applyFont="1" applyFill="1" applyBorder="1" applyAlignment="1">
      <alignment vertical="center" wrapText="1"/>
    </xf>
    <xf numFmtId="0" fontId="33" fillId="8" borderId="32" xfId="0" applyFont="1" applyFill="1" applyBorder="1" applyAlignment="1">
      <alignment horizontal="left" vertical="center"/>
    </xf>
    <xf numFmtId="0" fontId="52" fillId="9" borderId="41" xfId="46" applyFont="1" applyFill="1" applyBorder="1" applyAlignment="1">
      <alignment horizontal="center" vertical="center"/>
    </xf>
    <xf numFmtId="0" fontId="52" fillId="9" borderId="37" xfId="46" applyFont="1" applyFill="1" applyBorder="1" applyAlignment="1">
      <alignment horizontal="center" vertical="center"/>
    </xf>
    <xf numFmtId="0" fontId="44" fillId="9" borderId="23" xfId="47" applyFont="1" applyFill="1" applyBorder="1" applyAlignment="1">
      <alignment vertical="center"/>
    </xf>
    <xf numFmtId="0" fontId="52" fillId="9" borderId="37" xfId="46" applyFont="1" applyFill="1" applyBorder="1" applyAlignment="1">
      <alignment horizontal="center" vertical="top"/>
    </xf>
    <xf numFmtId="0" fontId="52" fillId="9" borderId="41" xfId="46" applyFont="1" applyFill="1" applyBorder="1" applyAlignment="1">
      <alignment horizontal="center" vertical="top"/>
    </xf>
    <xf numFmtId="0" fontId="52" fillId="9" borderId="38" xfId="46" applyFont="1" applyFill="1" applyBorder="1" applyAlignment="1">
      <alignment horizontal="center" vertical="top"/>
    </xf>
    <xf numFmtId="0" fontId="42" fillId="8" borderId="35" xfId="46" applyFont="1" applyFill="1" applyBorder="1" applyAlignment="1">
      <alignment horizontal="center"/>
    </xf>
    <xf numFmtId="0" fontId="42" fillId="8" borderId="19" xfId="46" applyFont="1" applyFill="1" applyBorder="1" applyAlignment="1">
      <alignment horizontal="center"/>
    </xf>
    <xf numFmtId="0" fontId="42" fillId="8" borderId="22" xfId="46" applyFont="1" applyFill="1" applyBorder="1" applyAlignment="1">
      <alignment horizontal="center"/>
    </xf>
    <xf numFmtId="0" fontId="6" fillId="0" borderId="7" xfId="0" applyFont="1" applyBorder="1" applyAlignment="1">
      <alignment horizontal="center" vertical="center"/>
    </xf>
    <xf numFmtId="0" fontId="17" fillId="0" borderId="12" xfId="0" applyFont="1" applyBorder="1" applyAlignment="1">
      <alignment horizontal="center" vertical="center"/>
    </xf>
    <xf numFmtId="0" fontId="28" fillId="0" borderId="0" xfId="0" applyFont="1" applyAlignment="1">
      <alignment horizontal="center" vertical="center"/>
    </xf>
    <xf numFmtId="0" fontId="17" fillId="0" borderId="8" xfId="0" applyFont="1" applyBorder="1" applyAlignment="1">
      <alignment horizontal="center" vertical="center"/>
    </xf>
    <xf numFmtId="0" fontId="17" fillId="0" borderId="9" xfId="0" applyFont="1" applyBorder="1" applyAlignment="1">
      <alignment horizontal="center" vertical="center"/>
    </xf>
    <xf numFmtId="0" fontId="34" fillId="0" borderId="8" xfId="0" applyFont="1" applyBorder="1" applyAlignment="1">
      <alignment horizontal="center"/>
    </xf>
    <xf numFmtId="0" fontId="34" fillId="0" borderId="18" xfId="0" applyFont="1" applyBorder="1" applyAlignment="1">
      <alignment horizontal="center"/>
    </xf>
    <xf numFmtId="0" fontId="34" fillId="0" borderId="9" xfId="0" applyFont="1" applyBorder="1" applyAlignment="1">
      <alignment horizontal="center"/>
    </xf>
    <xf numFmtId="1" fontId="13" fillId="0" borderId="33" xfId="0" applyNumberFormat="1" applyFont="1" applyBorder="1" applyAlignment="1">
      <alignment horizontal="center" vertical="center"/>
    </xf>
    <xf numFmtId="1" fontId="13" fillId="0" borderId="19" xfId="0" applyNumberFormat="1" applyFont="1" applyBorder="1" applyAlignment="1">
      <alignment horizontal="center" vertical="center"/>
    </xf>
    <xf numFmtId="1" fontId="13" fillId="0" borderId="34" xfId="0" applyNumberFormat="1" applyFont="1" applyBorder="1" applyAlignment="1">
      <alignment horizontal="center" vertical="center"/>
    </xf>
    <xf numFmtId="0" fontId="31" fillId="0" borderId="33" xfId="0" applyFont="1" applyBorder="1" applyAlignment="1">
      <alignment horizontal="center" vertical="center"/>
    </xf>
    <xf numFmtId="0" fontId="31" fillId="0" borderId="19" xfId="0" applyFont="1" applyBorder="1" applyAlignment="1">
      <alignment horizontal="center" vertical="center"/>
    </xf>
    <xf numFmtId="0" fontId="31" fillId="0" borderId="34" xfId="0" applyFont="1" applyBorder="1" applyAlignment="1">
      <alignment horizontal="center" vertical="center"/>
    </xf>
    <xf numFmtId="0" fontId="14" fillId="0" borderId="33" xfId="0" applyFont="1" applyBorder="1" applyAlignment="1">
      <alignment horizontal="center" vertical="center"/>
    </xf>
    <xf numFmtId="0" fontId="11" fillId="0" borderId="19" xfId="0" applyFont="1" applyBorder="1" applyAlignment="1">
      <alignment horizontal="center" vertical="center"/>
    </xf>
    <xf numFmtId="0" fontId="11" fillId="0" borderId="34" xfId="0" applyFont="1" applyBorder="1" applyAlignment="1">
      <alignment horizontal="center" vertical="center"/>
    </xf>
    <xf numFmtId="0" fontId="6" fillId="9" borderId="28" xfId="0" applyFont="1" applyFill="1" applyBorder="1" applyAlignment="1" applyProtection="1">
      <alignment horizontal="center"/>
      <protection locked="0"/>
    </xf>
    <xf numFmtId="0" fontId="6" fillId="9" borderId="28" xfId="0" applyFont="1" applyFill="1" applyBorder="1" applyAlignment="1" applyProtection="1">
      <alignment horizontal="left"/>
      <protection locked="0"/>
    </xf>
    <xf numFmtId="0" fontId="6" fillId="9" borderId="29" xfId="0" applyFont="1" applyFill="1" applyBorder="1" applyAlignment="1" applyProtection="1">
      <alignment horizontal="center"/>
      <protection locked="0"/>
    </xf>
    <xf numFmtId="0" fontId="6" fillId="9" borderId="29" xfId="0" applyFont="1" applyFill="1" applyBorder="1" applyAlignment="1" applyProtection="1">
      <alignment horizontal="left"/>
      <protection locked="0"/>
    </xf>
    <xf numFmtId="0" fontId="0" fillId="9" borderId="29" xfId="0" applyFill="1" applyBorder="1" applyAlignment="1" applyProtection="1">
      <alignment horizontal="left"/>
      <protection locked="0"/>
    </xf>
    <xf numFmtId="0" fontId="0" fillId="9" borderId="29" xfId="0" applyFill="1" applyBorder="1" applyAlignment="1" applyProtection="1">
      <alignment horizontal="center"/>
      <protection locked="0"/>
    </xf>
    <xf numFmtId="0" fontId="54" fillId="10" borderId="21" xfId="46" applyFont="1" applyFill="1" applyBorder="1" applyAlignment="1">
      <alignment horizontal="center" vertical="center"/>
    </xf>
    <xf numFmtId="0" fontId="54" fillId="10" borderId="19" xfId="46" applyFont="1" applyFill="1" applyBorder="1" applyAlignment="1">
      <alignment horizontal="center" vertical="center"/>
    </xf>
    <xf numFmtId="0" fontId="44" fillId="10" borderId="21" xfId="46" quotePrefix="1" applyFont="1" applyFill="1" applyBorder="1" applyAlignment="1">
      <alignment horizontal="center" vertical="center"/>
    </xf>
    <xf numFmtId="0" fontId="44" fillId="10" borderId="19" xfId="47" applyFont="1" applyFill="1" applyBorder="1" applyAlignment="1">
      <alignment vertical="center" wrapText="1"/>
    </xf>
    <xf numFmtId="0" fontId="44" fillId="10" borderId="38" xfId="46" applyFont="1" applyFill="1" applyBorder="1"/>
    <xf numFmtId="0" fontId="52" fillId="10" borderId="37" xfId="46" applyFont="1" applyFill="1" applyBorder="1" applyAlignment="1">
      <alignment horizontal="center" vertical="center"/>
    </xf>
    <xf numFmtId="0" fontId="44" fillId="10" borderId="23" xfId="47" applyFont="1" applyFill="1" applyBorder="1" applyAlignment="1">
      <alignment vertical="center"/>
    </xf>
    <xf numFmtId="0" fontId="44" fillId="10" borderId="37" xfId="46" applyFont="1" applyFill="1" applyBorder="1"/>
    <xf numFmtId="0" fontId="52" fillId="10" borderId="41" xfId="46" applyFont="1" applyFill="1" applyBorder="1" applyAlignment="1">
      <alignment horizontal="center" vertical="center"/>
    </xf>
    <xf numFmtId="0" fontId="46" fillId="10" borderId="45" xfId="0" applyFont="1" applyFill="1" applyBorder="1" applyAlignment="1">
      <alignment vertical="center"/>
    </xf>
    <xf numFmtId="0" fontId="44" fillId="10" borderId="46" xfId="46" applyFont="1" applyFill="1" applyBorder="1"/>
    <xf numFmtId="0" fontId="52" fillId="10" borderId="38" xfId="46" applyFont="1" applyFill="1" applyBorder="1" applyAlignment="1">
      <alignment horizontal="center" vertical="center"/>
    </xf>
    <xf numFmtId="0" fontId="46" fillId="10" borderId="43" xfId="0" applyFont="1" applyFill="1" applyBorder="1" applyAlignment="1">
      <alignment vertical="center" wrapText="1"/>
    </xf>
    <xf numFmtId="0" fontId="44" fillId="10" borderId="43" xfId="46" applyFont="1" applyFill="1" applyBorder="1"/>
    <xf numFmtId="0" fontId="52" fillId="10" borderId="37" xfId="46" applyFont="1" applyFill="1" applyBorder="1" applyAlignment="1">
      <alignment horizontal="center" vertical="top"/>
    </xf>
    <xf numFmtId="0" fontId="47" fillId="10" borderId="0" xfId="0" applyFont="1" applyFill="1" applyAlignment="1">
      <alignment vertical="center"/>
    </xf>
    <xf numFmtId="0" fontId="52" fillId="10" borderId="38" xfId="46" applyFont="1" applyFill="1" applyBorder="1" applyAlignment="1">
      <alignment horizontal="center" vertical="top"/>
    </xf>
    <xf numFmtId="0" fontId="47" fillId="10" borderId="44" xfId="0" applyFont="1" applyFill="1" applyBorder="1" applyAlignment="1">
      <alignment vertical="center"/>
    </xf>
    <xf numFmtId="0" fontId="44" fillId="10" borderId="44" xfId="47" applyFont="1" applyFill="1" applyBorder="1" applyAlignment="1">
      <alignment vertical="center"/>
    </xf>
    <xf numFmtId="0" fontId="4" fillId="10" borderId="21" xfId="46" quotePrefix="1" applyFill="1" applyBorder="1" applyAlignment="1">
      <alignment horizontal="center" vertical="center"/>
    </xf>
    <xf numFmtId="0" fontId="4" fillId="10" borderId="21" xfId="46" applyFill="1" applyBorder="1" applyAlignment="1">
      <alignment horizontal="center"/>
    </xf>
    <xf numFmtId="0" fontId="1" fillId="10" borderId="19" xfId="46" applyFont="1" applyFill="1" applyBorder="1" applyAlignment="1">
      <alignment vertical="center"/>
    </xf>
  </cellXfs>
  <cellStyles count="4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Good" xfId="47"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8" builtinId="8"/>
    <cellStyle name="Normal" xfId="0" builtinId="0"/>
    <cellStyle name="Normal 2" xfId="45" xr:uid="{8F4766DA-FCED-486B-9066-FF2C1350BFE0}"/>
    <cellStyle name="Normal 3" xfId="46" xr:uid="{EBDBC8A9-30B4-4EC4-87FE-3065232C8A02}"/>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F$4"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fmlaLink="$F$6"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F$8"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F$11"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F$12"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F$16"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F$18"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F$19"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fmlaLink="$F$21"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fmlaLink="$F$22"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firstButton="1" fmlaLink="$F$23"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fmlaLink="$F$27"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F$7" lockText="1"/>
</file>

<file path=xl/ctrlProps/ctrlProp38.xml><?xml version="1.0" encoding="utf-8"?>
<formControlPr xmlns="http://schemas.microsoft.com/office/spreadsheetml/2009/9/main" objectType="Radio" lockText="1"/>
</file>

<file path=xl/ctrlProps/ctrlProp39.xml><?xml version="1.0" encoding="utf-8"?>
<formControlPr xmlns="http://schemas.microsoft.com/office/spreadsheetml/2009/9/main" objectType="Radio"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F$9"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firstButton="1" fmlaLink="$F$1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Radio" lockText="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firstButton="1" fmlaLink="$F$24"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F$25" lockText="1"/>
</file>

<file path=xl/ctrlProps/ctrlProp54.xml><?xml version="1.0" encoding="utf-8"?>
<formControlPr xmlns="http://schemas.microsoft.com/office/spreadsheetml/2009/9/main" objectType="Radio" lockText="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firstButton="1" fmlaLink="$F$26"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Radio" firstButton="1" fmlaLink="$F$33" lockText="1"/>
</file>

<file path=xl/ctrlProps/ctrlProp60.xml><?xml version="1.0" encoding="utf-8"?>
<formControlPr xmlns="http://schemas.microsoft.com/office/spreadsheetml/2009/9/main" objectType="Radio" lockText="1"/>
</file>

<file path=xl/ctrlProps/ctrlProp61.xml><?xml version="1.0" encoding="utf-8"?>
<formControlPr xmlns="http://schemas.microsoft.com/office/spreadsheetml/2009/9/main" objectType="Radio" lockText="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Radio" firstButton="1" fmlaLink="$F$29" lockText="1"/>
</file>

<file path=xl/ctrlProps/ctrlProp64.xml><?xml version="1.0" encoding="utf-8"?>
<formControlPr xmlns="http://schemas.microsoft.com/office/spreadsheetml/2009/9/main" objectType="Radio"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firstButton="1" fmlaLink="$F$34" lockText="1"/>
</file>

<file path=xl/ctrlProps/ctrlProp70.xml><?xml version="1.0" encoding="utf-8"?>
<formControlPr xmlns="http://schemas.microsoft.com/office/spreadsheetml/2009/9/main" objectType="Radio"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Radio" lockText="1"/>
</file>

<file path=xl/ctrlProps/ctrlProp74.xml><?xml version="1.0" encoding="utf-8"?>
<formControlPr xmlns="http://schemas.microsoft.com/office/spreadsheetml/2009/9/main" objectType="Radio" lockText="1"/>
</file>

<file path=xl/ctrlProps/ctrlProp75.xml><?xml version="1.0" encoding="utf-8"?>
<formControlPr xmlns="http://schemas.microsoft.com/office/spreadsheetml/2009/9/main" objectType="Radio" lockText="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Radio" firstButton="1" fmlaLink="$F$5" lockText="1"/>
</file>

<file path=xl/ctrlProps/ctrlProp78.xml><?xml version="1.0" encoding="utf-8"?>
<formControlPr xmlns="http://schemas.microsoft.com/office/spreadsheetml/2009/9/main" objectType="Radio" lockText="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firstButton="1" fmlaLink="$F$10"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Radio" lockText="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Radio" firstButton="1" fmlaLink="$F$13" lockText="1"/>
</file>

<file path=xl/ctrlProps/ctrlProp85.xml><?xml version="1.0" encoding="utf-8"?>
<formControlPr xmlns="http://schemas.microsoft.com/office/spreadsheetml/2009/9/main" objectType="Radio" lockText="1"/>
</file>

<file path=xl/ctrlProps/ctrlProp86.xml><?xml version="1.0" encoding="utf-8"?>
<formControlPr xmlns="http://schemas.microsoft.com/office/spreadsheetml/2009/9/main" objectType="Radio" lockText="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F$14" lockText="1"/>
</file>

<file path=xl/ctrlProps/ctrlProp89.xml><?xml version="1.0" encoding="utf-8"?>
<formControlPr xmlns="http://schemas.microsoft.com/office/spreadsheetml/2009/9/main" objectType="Radio" lockText="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lockText="1"/>
</file>

<file path=xl/ctrlProps/ctrlProp92.xml><?xml version="1.0" encoding="utf-8"?>
<formControlPr xmlns="http://schemas.microsoft.com/office/spreadsheetml/2009/9/main" objectType="Radio" firstButton="1" fmlaLink="$F$17" lockText="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Radio" firstButton="1" fmlaLink="$F$20" lockText="1"/>
</file>

<file path=xl/ctrlProps/ctrlProp97.xml><?xml version="1.0" encoding="utf-8"?>
<formControlPr xmlns="http://schemas.microsoft.com/office/spreadsheetml/2009/9/main" objectType="Radio" lockText="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firstButton="1" fmlaLink="$F$28" lockText="1"/>
</file>

<file path=xl/ctrlProps/ctrlProp100.xml><?xml version="1.0" encoding="utf-8"?>
<formControlPr xmlns="http://schemas.microsoft.com/office/spreadsheetml/2009/9/main" objectType="Radio"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Radio" lockText="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Radio" firstButton="1" fmlaLink="$F$30"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Radio" firstButton="1" fmlaLink="$F$31" lockText="1"/>
</file>

<file path=xl/ctrlProps/ctrlProp111.xml><?xml version="1.0" encoding="utf-8"?>
<formControlPr xmlns="http://schemas.microsoft.com/office/spreadsheetml/2009/9/main" objectType="Radio" lockText="1"/>
</file>

<file path=xl/ctrlProps/ctrlProp112.xml><?xml version="1.0" encoding="utf-8"?>
<formControlPr xmlns="http://schemas.microsoft.com/office/spreadsheetml/2009/9/main" objectType="Radio" firstButton="1" fmlaLink="$F$32" lockText="1"/>
</file>

<file path=xl/ctrlProps/ctrlProp113.xml><?xml version="1.0" encoding="utf-8"?>
<formControlPr xmlns="http://schemas.microsoft.com/office/spreadsheetml/2009/9/main" objectType="Radio" lockText="1"/>
</file>

<file path=xl/ctrlProps/ctrlProp1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390676</xdr:colOff>
      <xdr:row>2</xdr:row>
      <xdr:rowOff>92000</xdr:rowOff>
    </xdr:from>
    <xdr:to>
      <xdr:col>6</xdr:col>
      <xdr:colOff>1683354</xdr:colOff>
      <xdr:row>4</xdr:row>
      <xdr:rowOff>189970</xdr:rowOff>
    </xdr:to>
    <xdr:sp macro="[0]!ResetCommand" textlink="">
      <xdr:nvSpPr>
        <xdr:cNvPr id="2" name="Rectangle: Rounded Corners 1">
          <a:extLst>
            <a:ext uri="{FF2B5EF4-FFF2-40B4-BE49-F238E27FC236}">
              <a16:creationId xmlns:a16="http://schemas.microsoft.com/office/drawing/2014/main" id="{00000000-0008-0000-0300-000002000000}"/>
            </a:ext>
          </a:extLst>
        </xdr:cNvPr>
        <xdr:cNvSpPr/>
      </xdr:nvSpPr>
      <xdr:spPr>
        <a:xfrm>
          <a:off x="9596589" y="196775"/>
          <a:ext cx="1292678" cy="655183"/>
        </a:xfrm>
        <a:prstGeom prst="roundRect">
          <a:avLst/>
        </a:prstGeom>
        <a:solidFill>
          <a:srgbClr val="0070C0"/>
        </a:solidFill>
        <a:ln w="762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RESET</a:t>
          </a:r>
        </a:p>
      </xdr:txBody>
    </xdr:sp>
    <xdr:clientData/>
  </xdr:twoCellAnchor>
  <mc:AlternateContent xmlns:mc="http://schemas.openxmlformats.org/markup-compatibility/2006">
    <mc:Choice xmlns:a14="http://schemas.microsoft.com/office/drawing/2010/main" Requires="a14">
      <xdr:twoCellAnchor editAs="oneCell">
        <xdr:from>
          <xdr:col>3</xdr:col>
          <xdr:colOff>76200</xdr:colOff>
          <xdr:row>3</xdr:row>
          <xdr:rowOff>83820</xdr:rowOff>
        </xdr:from>
        <xdr:to>
          <xdr:col>3</xdr:col>
          <xdr:colOff>556260</xdr:colOff>
          <xdr:row>3</xdr:row>
          <xdr:rowOff>297180</xdr:rowOff>
        </xdr:to>
        <xdr:sp macro="" textlink="">
          <xdr:nvSpPr>
            <xdr:cNvPr id="39020" name="Option Button 108" hidden="1">
              <a:extLst>
                <a:ext uri="{63B3BB69-23CF-44E3-9099-C40C66FF867C}">
                  <a14:compatExt spid="_x0000_s39020"/>
                </a:ext>
                <a:ext uri="{FF2B5EF4-FFF2-40B4-BE49-F238E27FC236}">
                  <a16:creationId xmlns:a16="http://schemas.microsoft.com/office/drawing/2014/main" id="{00000000-0008-0000-0200-00006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xdr:row>
          <xdr:rowOff>83820</xdr:rowOff>
        </xdr:from>
        <xdr:to>
          <xdr:col>3</xdr:col>
          <xdr:colOff>1013460</xdr:colOff>
          <xdr:row>3</xdr:row>
          <xdr:rowOff>297180</xdr:rowOff>
        </xdr:to>
        <xdr:sp macro="" textlink="">
          <xdr:nvSpPr>
            <xdr:cNvPr id="39022" name="Option Button 110" descr="No" hidden="1">
              <a:extLst>
                <a:ext uri="{63B3BB69-23CF-44E3-9099-C40C66FF867C}">
                  <a14:compatExt spid="_x0000_s39022"/>
                </a:ext>
                <a:ext uri="{FF2B5EF4-FFF2-40B4-BE49-F238E27FC236}">
                  <a16:creationId xmlns:a16="http://schemas.microsoft.com/office/drawing/2014/main" id="{00000000-0008-0000-0200-00006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60960</xdr:rowOff>
        </xdr:from>
        <xdr:to>
          <xdr:col>3</xdr:col>
          <xdr:colOff>1143000</xdr:colOff>
          <xdr:row>3</xdr:row>
          <xdr:rowOff>312420</xdr:rowOff>
        </xdr:to>
        <xdr:sp macro="" textlink="">
          <xdr:nvSpPr>
            <xdr:cNvPr id="39491" name="Inspection_Group" hidden="1">
              <a:extLst>
                <a:ext uri="{63B3BB69-23CF-44E3-9099-C40C66FF867C}">
                  <a14:compatExt spid="_x0000_s39491"/>
                </a:ext>
                <a:ext uri="{FF2B5EF4-FFF2-40B4-BE49-F238E27FC236}">
                  <a16:creationId xmlns:a16="http://schemas.microsoft.com/office/drawing/2014/main" id="{00000000-0008-0000-0200-000043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xdr:row>
          <xdr:rowOff>68580</xdr:rowOff>
        </xdr:from>
        <xdr:to>
          <xdr:col>3</xdr:col>
          <xdr:colOff>556260</xdr:colOff>
          <xdr:row>5</xdr:row>
          <xdr:rowOff>297180</xdr:rowOff>
        </xdr:to>
        <xdr:sp macro="" textlink="">
          <xdr:nvSpPr>
            <xdr:cNvPr id="39498" name="Option Button 586" hidden="1">
              <a:extLst>
                <a:ext uri="{63B3BB69-23CF-44E3-9099-C40C66FF867C}">
                  <a14:compatExt spid="_x0000_s39498"/>
                </a:ext>
                <a:ext uri="{FF2B5EF4-FFF2-40B4-BE49-F238E27FC236}">
                  <a16:creationId xmlns:a16="http://schemas.microsoft.com/office/drawing/2014/main" id="{00000000-0008-0000-0200-00004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5</xdr:row>
          <xdr:rowOff>68580</xdr:rowOff>
        </xdr:from>
        <xdr:to>
          <xdr:col>3</xdr:col>
          <xdr:colOff>1013460</xdr:colOff>
          <xdr:row>5</xdr:row>
          <xdr:rowOff>297180</xdr:rowOff>
        </xdr:to>
        <xdr:sp macro="" textlink="">
          <xdr:nvSpPr>
            <xdr:cNvPr id="39499" name="Option Button 587" descr="No" hidden="1">
              <a:extLst>
                <a:ext uri="{63B3BB69-23CF-44E3-9099-C40C66FF867C}">
                  <a14:compatExt spid="_x0000_s39499"/>
                </a:ext>
                <a:ext uri="{FF2B5EF4-FFF2-40B4-BE49-F238E27FC236}">
                  <a16:creationId xmlns:a16="http://schemas.microsoft.com/office/drawing/2014/main" id="{00000000-0008-0000-0200-00004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60960</xdr:rowOff>
        </xdr:from>
        <xdr:to>
          <xdr:col>3</xdr:col>
          <xdr:colOff>1143000</xdr:colOff>
          <xdr:row>5</xdr:row>
          <xdr:rowOff>327660</xdr:rowOff>
        </xdr:to>
        <xdr:sp macro="" textlink="">
          <xdr:nvSpPr>
            <xdr:cNvPr id="39500" name="M1b_Group" hidden="1">
              <a:extLst>
                <a:ext uri="{63B3BB69-23CF-44E3-9099-C40C66FF867C}">
                  <a14:compatExt spid="_x0000_s39500"/>
                </a:ext>
                <a:ext uri="{FF2B5EF4-FFF2-40B4-BE49-F238E27FC236}">
                  <a16:creationId xmlns:a16="http://schemas.microsoft.com/office/drawing/2014/main" id="{00000000-0008-0000-0200-00004C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xdr:row>
          <xdr:rowOff>30480</xdr:rowOff>
        </xdr:from>
        <xdr:to>
          <xdr:col>3</xdr:col>
          <xdr:colOff>556260</xdr:colOff>
          <xdr:row>7</xdr:row>
          <xdr:rowOff>251460</xdr:rowOff>
        </xdr:to>
        <xdr:sp macro="" textlink="">
          <xdr:nvSpPr>
            <xdr:cNvPr id="39513" name="Option Button 601" hidden="1">
              <a:extLst>
                <a:ext uri="{63B3BB69-23CF-44E3-9099-C40C66FF867C}">
                  <a14:compatExt spid="_x0000_s39513"/>
                </a:ext>
                <a:ext uri="{FF2B5EF4-FFF2-40B4-BE49-F238E27FC236}">
                  <a16:creationId xmlns:a16="http://schemas.microsoft.com/office/drawing/2014/main" id="{00000000-0008-0000-0200-00005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7</xdr:row>
          <xdr:rowOff>30480</xdr:rowOff>
        </xdr:from>
        <xdr:to>
          <xdr:col>3</xdr:col>
          <xdr:colOff>1013460</xdr:colOff>
          <xdr:row>7</xdr:row>
          <xdr:rowOff>251460</xdr:rowOff>
        </xdr:to>
        <xdr:sp macro="" textlink="">
          <xdr:nvSpPr>
            <xdr:cNvPr id="39514" name="Option Button 602" descr="No" hidden="1">
              <a:extLst>
                <a:ext uri="{63B3BB69-23CF-44E3-9099-C40C66FF867C}">
                  <a14:compatExt spid="_x0000_s39514"/>
                </a:ext>
                <a:ext uri="{FF2B5EF4-FFF2-40B4-BE49-F238E27FC236}">
                  <a16:creationId xmlns:a16="http://schemas.microsoft.com/office/drawing/2014/main" id="{00000000-0008-0000-0200-00005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1135380</xdr:colOff>
          <xdr:row>8</xdr:row>
          <xdr:rowOff>0</xdr:rowOff>
        </xdr:to>
        <xdr:sp macro="" textlink="">
          <xdr:nvSpPr>
            <xdr:cNvPr id="39515" name="M3a_Group" hidden="1">
              <a:extLst>
                <a:ext uri="{63B3BB69-23CF-44E3-9099-C40C66FF867C}">
                  <a14:compatExt spid="_x0000_s39515"/>
                </a:ext>
                <a:ext uri="{FF2B5EF4-FFF2-40B4-BE49-F238E27FC236}">
                  <a16:creationId xmlns:a16="http://schemas.microsoft.com/office/drawing/2014/main" id="{00000000-0008-0000-0200-00005B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30480</xdr:rowOff>
        </xdr:from>
        <xdr:to>
          <xdr:col>3</xdr:col>
          <xdr:colOff>556260</xdr:colOff>
          <xdr:row>10</xdr:row>
          <xdr:rowOff>251460</xdr:rowOff>
        </xdr:to>
        <xdr:sp macro="" textlink="">
          <xdr:nvSpPr>
            <xdr:cNvPr id="39525" name="Option Button 613" hidden="1">
              <a:extLst>
                <a:ext uri="{63B3BB69-23CF-44E3-9099-C40C66FF867C}">
                  <a14:compatExt spid="_x0000_s39525"/>
                </a:ext>
                <a:ext uri="{FF2B5EF4-FFF2-40B4-BE49-F238E27FC236}">
                  <a16:creationId xmlns:a16="http://schemas.microsoft.com/office/drawing/2014/main" id="{00000000-0008-0000-0200-00006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10</xdr:row>
          <xdr:rowOff>30480</xdr:rowOff>
        </xdr:from>
        <xdr:to>
          <xdr:col>3</xdr:col>
          <xdr:colOff>1013460</xdr:colOff>
          <xdr:row>10</xdr:row>
          <xdr:rowOff>251460</xdr:rowOff>
        </xdr:to>
        <xdr:sp macro="" textlink="">
          <xdr:nvSpPr>
            <xdr:cNvPr id="39526" name="Option Button 614" descr="No" hidden="1">
              <a:extLst>
                <a:ext uri="{63B3BB69-23CF-44E3-9099-C40C66FF867C}">
                  <a14:compatExt spid="_x0000_s39526"/>
                </a:ext>
                <a:ext uri="{FF2B5EF4-FFF2-40B4-BE49-F238E27FC236}">
                  <a16:creationId xmlns:a16="http://schemas.microsoft.com/office/drawing/2014/main" id="{00000000-0008-0000-0200-00006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1143000</xdr:colOff>
          <xdr:row>11</xdr:row>
          <xdr:rowOff>0</xdr:rowOff>
        </xdr:to>
        <xdr:sp macro="" textlink="">
          <xdr:nvSpPr>
            <xdr:cNvPr id="39527" name="M4b_Group" hidden="1">
              <a:extLst>
                <a:ext uri="{63B3BB69-23CF-44E3-9099-C40C66FF867C}">
                  <a14:compatExt spid="_x0000_s39527"/>
                </a:ext>
                <a:ext uri="{FF2B5EF4-FFF2-40B4-BE49-F238E27FC236}">
                  <a16:creationId xmlns:a16="http://schemas.microsoft.com/office/drawing/2014/main" id="{00000000-0008-0000-0200-000067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30480</xdr:rowOff>
        </xdr:from>
        <xdr:to>
          <xdr:col>3</xdr:col>
          <xdr:colOff>556260</xdr:colOff>
          <xdr:row>11</xdr:row>
          <xdr:rowOff>251460</xdr:rowOff>
        </xdr:to>
        <xdr:sp macro="" textlink="">
          <xdr:nvSpPr>
            <xdr:cNvPr id="39528" name="Option Button 616" hidden="1">
              <a:extLst>
                <a:ext uri="{63B3BB69-23CF-44E3-9099-C40C66FF867C}">
                  <a14:compatExt spid="_x0000_s39528"/>
                </a:ext>
                <a:ext uri="{FF2B5EF4-FFF2-40B4-BE49-F238E27FC236}">
                  <a16:creationId xmlns:a16="http://schemas.microsoft.com/office/drawing/2014/main" id="{00000000-0008-0000-0200-00006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11</xdr:row>
          <xdr:rowOff>30480</xdr:rowOff>
        </xdr:from>
        <xdr:to>
          <xdr:col>3</xdr:col>
          <xdr:colOff>1013460</xdr:colOff>
          <xdr:row>11</xdr:row>
          <xdr:rowOff>251460</xdr:rowOff>
        </xdr:to>
        <xdr:sp macro="" textlink="">
          <xdr:nvSpPr>
            <xdr:cNvPr id="39529" name="Option Button 617" descr="No" hidden="1">
              <a:extLst>
                <a:ext uri="{63B3BB69-23CF-44E3-9099-C40C66FF867C}">
                  <a14:compatExt spid="_x0000_s39529"/>
                </a:ext>
                <a:ext uri="{FF2B5EF4-FFF2-40B4-BE49-F238E27FC236}">
                  <a16:creationId xmlns:a16="http://schemas.microsoft.com/office/drawing/2014/main" id="{00000000-0008-0000-0200-00006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3</xdr:col>
          <xdr:colOff>1135380</xdr:colOff>
          <xdr:row>11</xdr:row>
          <xdr:rowOff>259080</xdr:rowOff>
        </xdr:to>
        <xdr:sp macro="" textlink="">
          <xdr:nvSpPr>
            <xdr:cNvPr id="39530" name="M4c_Group" hidden="1">
              <a:extLst>
                <a:ext uri="{63B3BB69-23CF-44E3-9099-C40C66FF867C}">
                  <a14:compatExt spid="_x0000_s39530"/>
                </a:ext>
                <a:ext uri="{FF2B5EF4-FFF2-40B4-BE49-F238E27FC236}">
                  <a16:creationId xmlns:a16="http://schemas.microsoft.com/office/drawing/2014/main" id="{00000000-0008-0000-0200-00006A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30480</xdr:rowOff>
        </xdr:from>
        <xdr:to>
          <xdr:col>3</xdr:col>
          <xdr:colOff>556260</xdr:colOff>
          <xdr:row>15</xdr:row>
          <xdr:rowOff>251460</xdr:rowOff>
        </xdr:to>
        <xdr:sp macro="" textlink="">
          <xdr:nvSpPr>
            <xdr:cNvPr id="39537" name="Option Button 625" hidden="1">
              <a:extLst>
                <a:ext uri="{63B3BB69-23CF-44E3-9099-C40C66FF867C}">
                  <a14:compatExt spid="_x0000_s39537"/>
                </a:ext>
                <a:ext uri="{FF2B5EF4-FFF2-40B4-BE49-F238E27FC236}">
                  <a16:creationId xmlns:a16="http://schemas.microsoft.com/office/drawing/2014/main" id="{00000000-0008-0000-0200-00007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15</xdr:row>
          <xdr:rowOff>30480</xdr:rowOff>
        </xdr:from>
        <xdr:to>
          <xdr:col>3</xdr:col>
          <xdr:colOff>1013460</xdr:colOff>
          <xdr:row>15</xdr:row>
          <xdr:rowOff>251460</xdr:rowOff>
        </xdr:to>
        <xdr:sp macro="" textlink="">
          <xdr:nvSpPr>
            <xdr:cNvPr id="39538" name="Option Button 626" descr="No" hidden="1">
              <a:extLst>
                <a:ext uri="{63B3BB69-23CF-44E3-9099-C40C66FF867C}">
                  <a14:compatExt spid="_x0000_s39538"/>
                </a:ext>
                <a:ext uri="{FF2B5EF4-FFF2-40B4-BE49-F238E27FC236}">
                  <a16:creationId xmlns:a16="http://schemas.microsoft.com/office/drawing/2014/main" id="{00000000-0008-0000-0200-00007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1135380</xdr:colOff>
          <xdr:row>16</xdr:row>
          <xdr:rowOff>0</xdr:rowOff>
        </xdr:to>
        <xdr:sp macro="" textlink="">
          <xdr:nvSpPr>
            <xdr:cNvPr id="39539" name="M7a_Group" hidden="1">
              <a:extLst>
                <a:ext uri="{63B3BB69-23CF-44E3-9099-C40C66FF867C}">
                  <a14:compatExt spid="_x0000_s39539"/>
                </a:ext>
                <a:ext uri="{FF2B5EF4-FFF2-40B4-BE49-F238E27FC236}">
                  <a16:creationId xmlns:a16="http://schemas.microsoft.com/office/drawing/2014/main" id="{00000000-0008-0000-0200-000073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22860</xdr:rowOff>
        </xdr:from>
        <xdr:to>
          <xdr:col>3</xdr:col>
          <xdr:colOff>556260</xdr:colOff>
          <xdr:row>17</xdr:row>
          <xdr:rowOff>251460</xdr:rowOff>
        </xdr:to>
        <xdr:sp macro="" textlink="">
          <xdr:nvSpPr>
            <xdr:cNvPr id="39540" name="Option Button 628" hidden="1">
              <a:extLst>
                <a:ext uri="{63B3BB69-23CF-44E3-9099-C40C66FF867C}">
                  <a14:compatExt spid="_x0000_s39540"/>
                </a:ext>
                <a:ext uri="{FF2B5EF4-FFF2-40B4-BE49-F238E27FC236}">
                  <a16:creationId xmlns:a16="http://schemas.microsoft.com/office/drawing/2014/main" id="{00000000-0008-0000-0200-00007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17</xdr:row>
          <xdr:rowOff>22860</xdr:rowOff>
        </xdr:from>
        <xdr:to>
          <xdr:col>3</xdr:col>
          <xdr:colOff>1013460</xdr:colOff>
          <xdr:row>17</xdr:row>
          <xdr:rowOff>251460</xdr:rowOff>
        </xdr:to>
        <xdr:sp macro="" textlink="">
          <xdr:nvSpPr>
            <xdr:cNvPr id="39541" name="Option Button 629" hidden="1">
              <a:extLst>
                <a:ext uri="{63B3BB69-23CF-44E3-9099-C40C66FF867C}">
                  <a14:compatExt spid="_x0000_s39541"/>
                </a:ext>
                <a:ext uri="{FF2B5EF4-FFF2-40B4-BE49-F238E27FC236}">
                  <a16:creationId xmlns:a16="http://schemas.microsoft.com/office/drawing/2014/main" id="{00000000-0008-0000-0200-00007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17</xdr:row>
          <xdr:rowOff>22860</xdr:rowOff>
        </xdr:from>
        <xdr:to>
          <xdr:col>3</xdr:col>
          <xdr:colOff>2887980</xdr:colOff>
          <xdr:row>18</xdr:row>
          <xdr:rowOff>0</xdr:rowOff>
        </xdr:to>
        <xdr:sp macro="" textlink="">
          <xdr:nvSpPr>
            <xdr:cNvPr id="39544" name="M8_Group" hidden="1">
              <a:extLst>
                <a:ext uri="{63B3BB69-23CF-44E3-9099-C40C66FF867C}">
                  <a14:compatExt spid="_x0000_s39544"/>
                </a:ext>
                <a:ext uri="{FF2B5EF4-FFF2-40B4-BE49-F238E27FC236}">
                  <a16:creationId xmlns:a16="http://schemas.microsoft.com/office/drawing/2014/main" id="{00000000-0008-0000-0200-000078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30480</xdr:rowOff>
        </xdr:from>
        <xdr:to>
          <xdr:col>3</xdr:col>
          <xdr:colOff>556260</xdr:colOff>
          <xdr:row>18</xdr:row>
          <xdr:rowOff>251460</xdr:rowOff>
        </xdr:to>
        <xdr:sp macro="" textlink="">
          <xdr:nvSpPr>
            <xdr:cNvPr id="39546" name="Option Button 634" hidden="1">
              <a:extLst>
                <a:ext uri="{63B3BB69-23CF-44E3-9099-C40C66FF867C}">
                  <a14:compatExt spid="_x0000_s39546"/>
                </a:ext>
                <a:ext uri="{FF2B5EF4-FFF2-40B4-BE49-F238E27FC236}">
                  <a16:creationId xmlns:a16="http://schemas.microsoft.com/office/drawing/2014/main" id="{00000000-0008-0000-0200-00007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18</xdr:row>
          <xdr:rowOff>30480</xdr:rowOff>
        </xdr:from>
        <xdr:to>
          <xdr:col>3</xdr:col>
          <xdr:colOff>1013460</xdr:colOff>
          <xdr:row>18</xdr:row>
          <xdr:rowOff>251460</xdr:rowOff>
        </xdr:to>
        <xdr:sp macro="" textlink="">
          <xdr:nvSpPr>
            <xdr:cNvPr id="39547" name="Option Button 635" descr="No" hidden="1">
              <a:extLst>
                <a:ext uri="{63B3BB69-23CF-44E3-9099-C40C66FF867C}">
                  <a14:compatExt spid="_x0000_s39547"/>
                </a:ext>
                <a:ext uri="{FF2B5EF4-FFF2-40B4-BE49-F238E27FC236}">
                  <a16:creationId xmlns:a16="http://schemas.microsoft.com/office/drawing/2014/main" id="{00000000-0008-0000-0200-00007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3</xdr:col>
          <xdr:colOff>1135380</xdr:colOff>
          <xdr:row>19</xdr:row>
          <xdr:rowOff>0</xdr:rowOff>
        </xdr:to>
        <xdr:sp macro="" textlink="">
          <xdr:nvSpPr>
            <xdr:cNvPr id="39548" name="M9a_Group" hidden="1">
              <a:extLst>
                <a:ext uri="{63B3BB69-23CF-44E3-9099-C40C66FF867C}">
                  <a14:compatExt spid="_x0000_s39548"/>
                </a:ext>
                <a:ext uri="{FF2B5EF4-FFF2-40B4-BE49-F238E27FC236}">
                  <a16:creationId xmlns:a16="http://schemas.microsoft.com/office/drawing/2014/main" id="{00000000-0008-0000-0200-00007C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30480</xdr:rowOff>
        </xdr:from>
        <xdr:to>
          <xdr:col>3</xdr:col>
          <xdr:colOff>556260</xdr:colOff>
          <xdr:row>20</xdr:row>
          <xdr:rowOff>251460</xdr:rowOff>
        </xdr:to>
        <xdr:sp macro="" textlink="">
          <xdr:nvSpPr>
            <xdr:cNvPr id="39549" name="Option Button 637" hidden="1">
              <a:extLst>
                <a:ext uri="{63B3BB69-23CF-44E3-9099-C40C66FF867C}">
                  <a14:compatExt spid="_x0000_s39549"/>
                </a:ext>
                <a:ext uri="{FF2B5EF4-FFF2-40B4-BE49-F238E27FC236}">
                  <a16:creationId xmlns:a16="http://schemas.microsoft.com/office/drawing/2014/main" id="{00000000-0008-0000-0200-00007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20</xdr:row>
          <xdr:rowOff>30480</xdr:rowOff>
        </xdr:from>
        <xdr:to>
          <xdr:col>3</xdr:col>
          <xdr:colOff>1013460</xdr:colOff>
          <xdr:row>20</xdr:row>
          <xdr:rowOff>251460</xdr:rowOff>
        </xdr:to>
        <xdr:sp macro="" textlink="">
          <xdr:nvSpPr>
            <xdr:cNvPr id="39550" name="Option Button 638" descr="No" hidden="1">
              <a:extLst>
                <a:ext uri="{63B3BB69-23CF-44E3-9099-C40C66FF867C}">
                  <a14:compatExt spid="_x0000_s39550"/>
                </a:ext>
                <a:ext uri="{FF2B5EF4-FFF2-40B4-BE49-F238E27FC236}">
                  <a16:creationId xmlns:a16="http://schemas.microsoft.com/office/drawing/2014/main" id="{00000000-0008-0000-0200-00007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3</xdr:col>
          <xdr:colOff>1135380</xdr:colOff>
          <xdr:row>21</xdr:row>
          <xdr:rowOff>0</xdr:rowOff>
        </xdr:to>
        <xdr:sp macro="" textlink="">
          <xdr:nvSpPr>
            <xdr:cNvPr id="39551" name="M9c_Group" hidden="1">
              <a:extLst>
                <a:ext uri="{63B3BB69-23CF-44E3-9099-C40C66FF867C}">
                  <a14:compatExt spid="_x0000_s39551"/>
                </a:ext>
                <a:ext uri="{FF2B5EF4-FFF2-40B4-BE49-F238E27FC236}">
                  <a16:creationId xmlns:a16="http://schemas.microsoft.com/office/drawing/2014/main" id="{00000000-0008-0000-0200-00007F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30480</xdr:rowOff>
        </xdr:from>
        <xdr:to>
          <xdr:col>3</xdr:col>
          <xdr:colOff>556260</xdr:colOff>
          <xdr:row>21</xdr:row>
          <xdr:rowOff>251460</xdr:rowOff>
        </xdr:to>
        <xdr:sp macro="" textlink="">
          <xdr:nvSpPr>
            <xdr:cNvPr id="39552" name="Option Button 640" hidden="1">
              <a:extLst>
                <a:ext uri="{63B3BB69-23CF-44E3-9099-C40C66FF867C}">
                  <a14:compatExt spid="_x0000_s39552"/>
                </a:ext>
                <a:ext uri="{FF2B5EF4-FFF2-40B4-BE49-F238E27FC236}">
                  <a16:creationId xmlns:a16="http://schemas.microsoft.com/office/drawing/2014/main" id="{00000000-0008-0000-0200-00008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21</xdr:row>
          <xdr:rowOff>30480</xdr:rowOff>
        </xdr:from>
        <xdr:to>
          <xdr:col>3</xdr:col>
          <xdr:colOff>1013460</xdr:colOff>
          <xdr:row>21</xdr:row>
          <xdr:rowOff>251460</xdr:rowOff>
        </xdr:to>
        <xdr:sp macro="" textlink="">
          <xdr:nvSpPr>
            <xdr:cNvPr id="39553" name="Option Button 641" descr="No" hidden="1">
              <a:extLst>
                <a:ext uri="{63B3BB69-23CF-44E3-9099-C40C66FF867C}">
                  <a14:compatExt spid="_x0000_s39553"/>
                </a:ext>
                <a:ext uri="{FF2B5EF4-FFF2-40B4-BE49-F238E27FC236}">
                  <a16:creationId xmlns:a16="http://schemas.microsoft.com/office/drawing/2014/main" id="{00000000-0008-0000-0200-00008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3</xdr:col>
          <xdr:colOff>1135380</xdr:colOff>
          <xdr:row>22</xdr:row>
          <xdr:rowOff>0</xdr:rowOff>
        </xdr:to>
        <xdr:sp macro="" textlink="">
          <xdr:nvSpPr>
            <xdr:cNvPr id="39554" name="M10a_Group" hidden="1">
              <a:extLst>
                <a:ext uri="{63B3BB69-23CF-44E3-9099-C40C66FF867C}">
                  <a14:compatExt spid="_x0000_s39554"/>
                </a:ext>
                <a:ext uri="{FF2B5EF4-FFF2-40B4-BE49-F238E27FC236}">
                  <a16:creationId xmlns:a16="http://schemas.microsoft.com/office/drawing/2014/main" id="{00000000-0008-0000-0200-000082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30480</xdr:rowOff>
        </xdr:from>
        <xdr:to>
          <xdr:col>3</xdr:col>
          <xdr:colOff>556260</xdr:colOff>
          <xdr:row>22</xdr:row>
          <xdr:rowOff>251460</xdr:rowOff>
        </xdr:to>
        <xdr:sp macro="" textlink="">
          <xdr:nvSpPr>
            <xdr:cNvPr id="39555" name="Option Button 643" hidden="1">
              <a:extLst>
                <a:ext uri="{63B3BB69-23CF-44E3-9099-C40C66FF867C}">
                  <a14:compatExt spid="_x0000_s39555"/>
                </a:ext>
                <a:ext uri="{FF2B5EF4-FFF2-40B4-BE49-F238E27FC236}">
                  <a16:creationId xmlns:a16="http://schemas.microsoft.com/office/drawing/2014/main" id="{00000000-0008-0000-0200-000083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22</xdr:row>
          <xdr:rowOff>30480</xdr:rowOff>
        </xdr:from>
        <xdr:to>
          <xdr:col>3</xdr:col>
          <xdr:colOff>1013460</xdr:colOff>
          <xdr:row>22</xdr:row>
          <xdr:rowOff>251460</xdr:rowOff>
        </xdr:to>
        <xdr:sp macro="" textlink="">
          <xdr:nvSpPr>
            <xdr:cNvPr id="39556" name="Option Button 644" descr="No" hidden="1">
              <a:extLst>
                <a:ext uri="{63B3BB69-23CF-44E3-9099-C40C66FF867C}">
                  <a14:compatExt spid="_x0000_s39556"/>
                </a:ext>
                <a:ext uri="{FF2B5EF4-FFF2-40B4-BE49-F238E27FC236}">
                  <a16:creationId xmlns:a16="http://schemas.microsoft.com/office/drawing/2014/main" id="{00000000-0008-0000-0200-00008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1135380</xdr:colOff>
          <xdr:row>23</xdr:row>
          <xdr:rowOff>0</xdr:rowOff>
        </xdr:to>
        <xdr:sp macro="" textlink="">
          <xdr:nvSpPr>
            <xdr:cNvPr id="39557" name="M10b_Group" hidden="1">
              <a:extLst>
                <a:ext uri="{63B3BB69-23CF-44E3-9099-C40C66FF867C}">
                  <a14:compatExt spid="_x0000_s39557"/>
                </a:ext>
                <a:ext uri="{FF2B5EF4-FFF2-40B4-BE49-F238E27FC236}">
                  <a16:creationId xmlns:a16="http://schemas.microsoft.com/office/drawing/2014/main" id="{00000000-0008-0000-0200-000085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30480</xdr:rowOff>
        </xdr:from>
        <xdr:to>
          <xdr:col>3</xdr:col>
          <xdr:colOff>556260</xdr:colOff>
          <xdr:row>26</xdr:row>
          <xdr:rowOff>251460</xdr:rowOff>
        </xdr:to>
        <xdr:sp macro="" textlink="">
          <xdr:nvSpPr>
            <xdr:cNvPr id="39589" name="Option Button 677" hidden="1">
              <a:extLst>
                <a:ext uri="{63B3BB69-23CF-44E3-9099-C40C66FF867C}">
                  <a14:compatExt spid="_x0000_s39589"/>
                </a:ext>
                <a:ext uri="{FF2B5EF4-FFF2-40B4-BE49-F238E27FC236}">
                  <a16:creationId xmlns:a16="http://schemas.microsoft.com/office/drawing/2014/main" id="{00000000-0008-0000-0200-0000A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26</xdr:row>
          <xdr:rowOff>30480</xdr:rowOff>
        </xdr:from>
        <xdr:to>
          <xdr:col>3</xdr:col>
          <xdr:colOff>1013460</xdr:colOff>
          <xdr:row>26</xdr:row>
          <xdr:rowOff>251460</xdr:rowOff>
        </xdr:to>
        <xdr:sp macro="" textlink="">
          <xdr:nvSpPr>
            <xdr:cNvPr id="39590" name="Option Button 678" descr="No" hidden="1">
              <a:extLst>
                <a:ext uri="{63B3BB69-23CF-44E3-9099-C40C66FF867C}">
                  <a14:compatExt spid="_x0000_s39590"/>
                </a:ext>
                <a:ext uri="{FF2B5EF4-FFF2-40B4-BE49-F238E27FC236}">
                  <a16:creationId xmlns:a16="http://schemas.microsoft.com/office/drawing/2014/main" id="{00000000-0008-0000-0200-0000A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3</xdr:col>
          <xdr:colOff>1135380</xdr:colOff>
          <xdr:row>27</xdr:row>
          <xdr:rowOff>0</xdr:rowOff>
        </xdr:to>
        <xdr:sp macro="" textlink="">
          <xdr:nvSpPr>
            <xdr:cNvPr id="39591" name="M13_Group" hidden="1">
              <a:extLst>
                <a:ext uri="{63B3BB69-23CF-44E3-9099-C40C66FF867C}">
                  <a14:compatExt spid="_x0000_s39591"/>
                </a:ext>
                <a:ext uri="{FF2B5EF4-FFF2-40B4-BE49-F238E27FC236}">
                  <a16:creationId xmlns:a16="http://schemas.microsoft.com/office/drawing/2014/main" id="{00000000-0008-0000-0200-0000A7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xdr:row>
          <xdr:rowOff>22860</xdr:rowOff>
        </xdr:from>
        <xdr:to>
          <xdr:col>3</xdr:col>
          <xdr:colOff>556260</xdr:colOff>
          <xdr:row>6</xdr:row>
          <xdr:rowOff>251460</xdr:rowOff>
        </xdr:to>
        <xdr:sp macro="" textlink="">
          <xdr:nvSpPr>
            <xdr:cNvPr id="39637" name="Option Button 725" hidden="1">
              <a:extLst>
                <a:ext uri="{63B3BB69-23CF-44E3-9099-C40C66FF867C}">
                  <a14:compatExt spid="_x0000_s39637"/>
                </a:ext>
                <a:ext uri="{FF2B5EF4-FFF2-40B4-BE49-F238E27FC236}">
                  <a16:creationId xmlns:a16="http://schemas.microsoft.com/office/drawing/2014/main" id="{00000000-0008-0000-0200-0000D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6</xdr:row>
          <xdr:rowOff>22860</xdr:rowOff>
        </xdr:from>
        <xdr:to>
          <xdr:col>3</xdr:col>
          <xdr:colOff>1013460</xdr:colOff>
          <xdr:row>6</xdr:row>
          <xdr:rowOff>251460</xdr:rowOff>
        </xdr:to>
        <xdr:sp macro="" textlink="">
          <xdr:nvSpPr>
            <xdr:cNvPr id="39638" name="Option Button 726" hidden="1">
              <a:extLst>
                <a:ext uri="{63B3BB69-23CF-44E3-9099-C40C66FF867C}">
                  <a14:compatExt spid="_x0000_s39638"/>
                </a:ext>
                <a:ext uri="{FF2B5EF4-FFF2-40B4-BE49-F238E27FC236}">
                  <a16:creationId xmlns:a16="http://schemas.microsoft.com/office/drawing/2014/main" id="{00000000-0008-0000-0200-0000D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6</xdr:row>
          <xdr:rowOff>22860</xdr:rowOff>
        </xdr:from>
        <xdr:to>
          <xdr:col>3</xdr:col>
          <xdr:colOff>1447800</xdr:colOff>
          <xdr:row>6</xdr:row>
          <xdr:rowOff>251460</xdr:rowOff>
        </xdr:to>
        <xdr:sp macro="" textlink="">
          <xdr:nvSpPr>
            <xdr:cNvPr id="39639" name="Option Button 727" hidden="1">
              <a:extLst>
                <a:ext uri="{63B3BB69-23CF-44E3-9099-C40C66FF867C}">
                  <a14:compatExt spid="_x0000_s39639"/>
                </a:ext>
                <a:ext uri="{FF2B5EF4-FFF2-40B4-BE49-F238E27FC236}">
                  <a16:creationId xmlns:a16="http://schemas.microsoft.com/office/drawing/2014/main" id="{00000000-0008-0000-0200-0000D7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1516380</xdr:colOff>
          <xdr:row>6</xdr:row>
          <xdr:rowOff>22860</xdr:rowOff>
        </xdr:from>
        <xdr:to>
          <xdr:col>3</xdr:col>
          <xdr:colOff>2004060</xdr:colOff>
          <xdr:row>6</xdr:row>
          <xdr:rowOff>251460</xdr:rowOff>
        </xdr:to>
        <xdr:sp macro="" textlink="">
          <xdr:nvSpPr>
            <xdr:cNvPr id="39640" name="Option Button 728" hidden="1">
              <a:extLst>
                <a:ext uri="{63B3BB69-23CF-44E3-9099-C40C66FF867C}">
                  <a14:compatExt spid="_x0000_s39640"/>
                </a:ext>
                <a:ext uri="{FF2B5EF4-FFF2-40B4-BE49-F238E27FC236}">
                  <a16:creationId xmlns:a16="http://schemas.microsoft.com/office/drawing/2014/main" id="{00000000-0008-0000-0200-0000D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6</xdr:row>
          <xdr:rowOff>22860</xdr:rowOff>
        </xdr:from>
        <xdr:to>
          <xdr:col>3</xdr:col>
          <xdr:colOff>2857500</xdr:colOff>
          <xdr:row>7</xdr:row>
          <xdr:rowOff>0</xdr:rowOff>
        </xdr:to>
        <xdr:sp macro="" textlink="">
          <xdr:nvSpPr>
            <xdr:cNvPr id="39641" name="M2_Group" hidden="1">
              <a:extLst>
                <a:ext uri="{63B3BB69-23CF-44E3-9099-C40C66FF867C}">
                  <a14:compatExt spid="_x0000_s39641"/>
                </a:ext>
                <a:ext uri="{FF2B5EF4-FFF2-40B4-BE49-F238E27FC236}">
                  <a16:creationId xmlns:a16="http://schemas.microsoft.com/office/drawing/2014/main" id="{00000000-0008-0000-0200-0000D9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xdr:row>
          <xdr:rowOff>30480</xdr:rowOff>
        </xdr:from>
        <xdr:to>
          <xdr:col>3</xdr:col>
          <xdr:colOff>556260</xdr:colOff>
          <xdr:row>8</xdr:row>
          <xdr:rowOff>251460</xdr:rowOff>
        </xdr:to>
        <xdr:sp macro="" textlink="">
          <xdr:nvSpPr>
            <xdr:cNvPr id="39642" name="Option Button 730" hidden="1">
              <a:extLst>
                <a:ext uri="{63B3BB69-23CF-44E3-9099-C40C66FF867C}">
                  <a14:compatExt spid="_x0000_s39642"/>
                </a:ext>
                <a:ext uri="{FF2B5EF4-FFF2-40B4-BE49-F238E27FC236}">
                  <a16:creationId xmlns:a16="http://schemas.microsoft.com/office/drawing/2014/main" id="{00000000-0008-0000-0200-0000D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8</xdr:row>
          <xdr:rowOff>30480</xdr:rowOff>
        </xdr:from>
        <xdr:to>
          <xdr:col>3</xdr:col>
          <xdr:colOff>1013460</xdr:colOff>
          <xdr:row>8</xdr:row>
          <xdr:rowOff>251460</xdr:rowOff>
        </xdr:to>
        <xdr:sp macro="" textlink="">
          <xdr:nvSpPr>
            <xdr:cNvPr id="39643" name="Option Button 731" descr="No" hidden="1">
              <a:extLst>
                <a:ext uri="{63B3BB69-23CF-44E3-9099-C40C66FF867C}">
                  <a14:compatExt spid="_x0000_s39643"/>
                </a:ext>
                <a:ext uri="{FF2B5EF4-FFF2-40B4-BE49-F238E27FC236}">
                  <a16:creationId xmlns:a16="http://schemas.microsoft.com/office/drawing/2014/main" id="{00000000-0008-0000-0200-0000D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1135380</xdr:colOff>
          <xdr:row>9</xdr:row>
          <xdr:rowOff>0</xdr:rowOff>
        </xdr:to>
        <xdr:sp macro="" textlink="">
          <xdr:nvSpPr>
            <xdr:cNvPr id="39644" name="M3b_Group" hidden="1">
              <a:extLst>
                <a:ext uri="{63B3BB69-23CF-44E3-9099-C40C66FF867C}">
                  <a14:compatExt spid="_x0000_s39644"/>
                </a:ext>
                <a:ext uri="{FF2B5EF4-FFF2-40B4-BE49-F238E27FC236}">
                  <a16:creationId xmlns:a16="http://schemas.microsoft.com/office/drawing/2014/main" id="{00000000-0008-0000-0200-0000DC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22860</xdr:rowOff>
        </xdr:from>
        <xdr:to>
          <xdr:col>3</xdr:col>
          <xdr:colOff>556260</xdr:colOff>
          <xdr:row>14</xdr:row>
          <xdr:rowOff>251460</xdr:rowOff>
        </xdr:to>
        <xdr:sp macro="" textlink="">
          <xdr:nvSpPr>
            <xdr:cNvPr id="39645" name="Option Button 733" hidden="1">
              <a:extLst>
                <a:ext uri="{63B3BB69-23CF-44E3-9099-C40C66FF867C}">
                  <a14:compatExt spid="_x0000_s39645"/>
                </a:ext>
                <a:ext uri="{FF2B5EF4-FFF2-40B4-BE49-F238E27FC236}">
                  <a16:creationId xmlns:a16="http://schemas.microsoft.com/office/drawing/2014/main" id="{00000000-0008-0000-0200-0000D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14</xdr:row>
          <xdr:rowOff>22860</xdr:rowOff>
        </xdr:from>
        <xdr:to>
          <xdr:col>3</xdr:col>
          <xdr:colOff>1013460</xdr:colOff>
          <xdr:row>14</xdr:row>
          <xdr:rowOff>251460</xdr:rowOff>
        </xdr:to>
        <xdr:sp macro="" textlink="">
          <xdr:nvSpPr>
            <xdr:cNvPr id="39646" name="Option Button 734" hidden="1">
              <a:extLst>
                <a:ext uri="{63B3BB69-23CF-44E3-9099-C40C66FF867C}">
                  <a14:compatExt spid="_x0000_s39646"/>
                </a:ext>
                <a:ext uri="{FF2B5EF4-FFF2-40B4-BE49-F238E27FC236}">
                  <a16:creationId xmlns:a16="http://schemas.microsoft.com/office/drawing/2014/main" id="{00000000-0008-0000-0200-0000D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14</xdr:row>
          <xdr:rowOff>22860</xdr:rowOff>
        </xdr:from>
        <xdr:to>
          <xdr:col>3</xdr:col>
          <xdr:colOff>1440180</xdr:colOff>
          <xdr:row>14</xdr:row>
          <xdr:rowOff>251460</xdr:rowOff>
        </xdr:to>
        <xdr:sp macro="" textlink="">
          <xdr:nvSpPr>
            <xdr:cNvPr id="39647" name="Option Button 735" hidden="1">
              <a:extLst>
                <a:ext uri="{63B3BB69-23CF-44E3-9099-C40C66FF867C}">
                  <a14:compatExt spid="_x0000_s39647"/>
                </a:ext>
                <a:ext uri="{FF2B5EF4-FFF2-40B4-BE49-F238E27FC236}">
                  <a16:creationId xmlns:a16="http://schemas.microsoft.com/office/drawing/2014/main" id="{00000000-0008-0000-0200-0000D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1516380</xdr:colOff>
          <xdr:row>14</xdr:row>
          <xdr:rowOff>22860</xdr:rowOff>
        </xdr:from>
        <xdr:to>
          <xdr:col>3</xdr:col>
          <xdr:colOff>2004060</xdr:colOff>
          <xdr:row>14</xdr:row>
          <xdr:rowOff>251460</xdr:rowOff>
        </xdr:to>
        <xdr:sp macro="" textlink="">
          <xdr:nvSpPr>
            <xdr:cNvPr id="39648" name="Option Button 736" hidden="1">
              <a:extLst>
                <a:ext uri="{63B3BB69-23CF-44E3-9099-C40C66FF867C}">
                  <a14:compatExt spid="_x0000_s39648"/>
                </a:ext>
                <a:ext uri="{FF2B5EF4-FFF2-40B4-BE49-F238E27FC236}">
                  <a16:creationId xmlns:a16="http://schemas.microsoft.com/office/drawing/2014/main" id="{00000000-0008-0000-0200-0000E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14</xdr:row>
          <xdr:rowOff>22860</xdr:rowOff>
        </xdr:from>
        <xdr:to>
          <xdr:col>3</xdr:col>
          <xdr:colOff>2849880</xdr:colOff>
          <xdr:row>15</xdr:row>
          <xdr:rowOff>0</xdr:rowOff>
        </xdr:to>
        <xdr:sp macro="" textlink="">
          <xdr:nvSpPr>
            <xdr:cNvPr id="39649" name="M6b_Group" hidden="1">
              <a:extLst>
                <a:ext uri="{63B3BB69-23CF-44E3-9099-C40C66FF867C}">
                  <a14:compatExt spid="_x0000_s39649"/>
                </a:ext>
                <a:ext uri="{FF2B5EF4-FFF2-40B4-BE49-F238E27FC236}">
                  <a16:creationId xmlns:a16="http://schemas.microsoft.com/office/drawing/2014/main" id="{00000000-0008-0000-0200-0000E1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30480</xdr:rowOff>
        </xdr:from>
        <xdr:to>
          <xdr:col>3</xdr:col>
          <xdr:colOff>556260</xdr:colOff>
          <xdr:row>23</xdr:row>
          <xdr:rowOff>251460</xdr:rowOff>
        </xdr:to>
        <xdr:sp macro="" textlink="">
          <xdr:nvSpPr>
            <xdr:cNvPr id="39653" name="Option Button 741" hidden="1">
              <a:extLst>
                <a:ext uri="{63B3BB69-23CF-44E3-9099-C40C66FF867C}">
                  <a14:compatExt spid="_x0000_s39653"/>
                </a:ext>
                <a:ext uri="{FF2B5EF4-FFF2-40B4-BE49-F238E27FC236}">
                  <a16:creationId xmlns:a16="http://schemas.microsoft.com/office/drawing/2014/main" id="{00000000-0008-0000-0200-0000E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23</xdr:row>
          <xdr:rowOff>30480</xdr:rowOff>
        </xdr:from>
        <xdr:to>
          <xdr:col>3</xdr:col>
          <xdr:colOff>1013460</xdr:colOff>
          <xdr:row>23</xdr:row>
          <xdr:rowOff>251460</xdr:rowOff>
        </xdr:to>
        <xdr:sp macro="" textlink="">
          <xdr:nvSpPr>
            <xdr:cNvPr id="39654" name="Option Button 742" descr="No" hidden="1">
              <a:extLst>
                <a:ext uri="{63B3BB69-23CF-44E3-9099-C40C66FF867C}">
                  <a14:compatExt spid="_x0000_s39654"/>
                </a:ext>
                <a:ext uri="{FF2B5EF4-FFF2-40B4-BE49-F238E27FC236}">
                  <a16:creationId xmlns:a16="http://schemas.microsoft.com/office/drawing/2014/main" id="{00000000-0008-0000-0200-0000E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1135380</xdr:colOff>
          <xdr:row>24</xdr:row>
          <xdr:rowOff>0</xdr:rowOff>
        </xdr:to>
        <xdr:sp macro="" textlink="">
          <xdr:nvSpPr>
            <xdr:cNvPr id="39655" name="M11_Group" hidden="1">
              <a:extLst>
                <a:ext uri="{63B3BB69-23CF-44E3-9099-C40C66FF867C}">
                  <a14:compatExt spid="_x0000_s39655"/>
                </a:ext>
                <a:ext uri="{FF2B5EF4-FFF2-40B4-BE49-F238E27FC236}">
                  <a16:creationId xmlns:a16="http://schemas.microsoft.com/office/drawing/2014/main" id="{00000000-0008-0000-0200-0000E7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22860</xdr:rowOff>
        </xdr:from>
        <xdr:to>
          <xdr:col>3</xdr:col>
          <xdr:colOff>556260</xdr:colOff>
          <xdr:row>24</xdr:row>
          <xdr:rowOff>236220</xdr:rowOff>
        </xdr:to>
        <xdr:sp macro="" textlink="">
          <xdr:nvSpPr>
            <xdr:cNvPr id="39662" name="Option Button 750" hidden="1">
              <a:extLst>
                <a:ext uri="{63B3BB69-23CF-44E3-9099-C40C66FF867C}">
                  <a14:compatExt spid="_x0000_s39662"/>
                </a:ext>
                <a:ext uri="{FF2B5EF4-FFF2-40B4-BE49-F238E27FC236}">
                  <a16:creationId xmlns:a16="http://schemas.microsoft.com/office/drawing/2014/main" id="{00000000-0008-0000-0200-0000E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22860</xdr:rowOff>
        </xdr:from>
        <xdr:to>
          <xdr:col>3</xdr:col>
          <xdr:colOff>1013460</xdr:colOff>
          <xdr:row>24</xdr:row>
          <xdr:rowOff>236220</xdr:rowOff>
        </xdr:to>
        <xdr:sp macro="" textlink="">
          <xdr:nvSpPr>
            <xdr:cNvPr id="39663" name="Option Button 751" descr="No" hidden="1">
              <a:extLst>
                <a:ext uri="{63B3BB69-23CF-44E3-9099-C40C66FF867C}">
                  <a14:compatExt spid="_x0000_s39663"/>
                </a:ext>
                <a:ext uri="{FF2B5EF4-FFF2-40B4-BE49-F238E27FC236}">
                  <a16:creationId xmlns:a16="http://schemas.microsoft.com/office/drawing/2014/main" id="{00000000-0008-0000-0200-0000E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3</xdr:col>
          <xdr:colOff>1135380</xdr:colOff>
          <xdr:row>25</xdr:row>
          <xdr:rowOff>0</xdr:rowOff>
        </xdr:to>
        <xdr:sp macro="" textlink="">
          <xdr:nvSpPr>
            <xdr:cNvPr id="39664" name="M12a_Group" hidden="1">
              <a:extLst>
                <a:ext uri="{63B3BB69-23CF-44E3-9099-C40C66FF867C}">
                  <a14:compatExt spid="_x0000_s39664"/>
                </a:ext>
                <a:ext uri="{FF2B5EF4-FFF2-40B4-BE49-F238E27FC236}">
                  <a16:creationId xmlns:a16="http://schemas.microsoft.com/office/drawing/2014/main" id="{00000000-0008-0000-0200-0000F0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30480</xdr:rowOff>
        </xdr:from>
        <xdr:to>
          <xdr:col>3</xdr:col>
          <xdr:colOff>556260</xdr:colOff>
          <xdr:row>25</xdr:row>
          <xdr:rowOff>251460</xdr:rowOff>
        </xdr:to>
        <xdr:sp macro="" textlink="">
          <xdr:nvSpPr>
            <xdr:cNvPr id="39665" name="Option Button 753" hidden="1">
              <a:extLst>
                <a:ext uri="{63B3BB69-23CF-44E3-9099-C40C66FF867C}">
                  <a14:compatExt spid="_x0000_s39665"/>
                </a:ext>
                <a:ext uri="{FF2B5EF4-FFF2-40B4-BE49-F238E27FC236}">
                  <a16:creationId xmlns:a16="http://schemas.microsoft.com/office/drawing/2014/main" id="{00000000-0008-0000-0200-0000F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25</xdr:row>
          <xdr:rowOff>30480</xdr:rowOff>
        </xdr:from>
        <xdr:to>
          <xdr:col>3</xdr:col>
          <xdr:colOff>1013460</xdr:colOff>
          <xdr:row>25</xdr:row>
          <xdr:rowOff>251460</xdr:rowOff>
        </xdr:to>
        <xdr:sp macro="" textlink="">
          <xdr:nvSpPr>
            <xdr:cNvPr id="39666" name="Option Button 754" descr="No" hidden="1">
              <a:extLst>
                <a:ext uri="{63B3BB69-23CF-44E3-9099-C40C66FF867C}">
                  <a14:compatExt spid="_x0000_s39666"/>
                </a:ext>
                <a:ext uri="{FF2B5EF4-FFF2-40B4-BE49-F238E27FC236}">
                  <a16:creationId xmlns:a16="http://schemas.microsoft.com/office/drawing/2014/main" id="{00000000-0008-0000-0200-0000F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3</xdr:col>
          <xdr:colOff>1135380</xdr:colOff>
          <xdr:row>26</xdr:row>
          <xdr:rowOff>0</xdr:rowOff>
        </xdr:to>
        <xdr:sp macro="" textlink="">
          <xdr:nvSpPr>
            <xdr:cNvPr id="39667" name="M12b_Group" hidden="1">
              <a:extLst>
                <a:ext uri="{63B3BB69-23CF-44E3-9099-C40C66FF867C}">
                  <a14:compatExt spid="_x0000_s39667"/>
                </a:ext>
                <a:ext uri="{FF2B5EF4-FFF2-40B4-BE49-F238E27FC236}">
                  <a16:creationId xmlns:a16="http://schemas.microsoft.com/office/drawing/2014/main" id="{00000000-0008-0000-0200-0000F3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30480</xdr:rowOff>
        </xdr:from>
        <xdr:to>
          <xdr:col>3</xdr:col>
          <xdr:colOff>556260</xdr:colOff>
          <xdr:row>33</xdr:row>
          <xdr:rowOff>0</xdr:rowOff>
        </xdr:to>
        <xdr:sp macro="" textlink="">
          <xdr:nvSpPr>
            <xdr:cNvPr id="39680" name="Option Button 768" hidden="1">
              <a:extLst>
                <a:ext uri="{63B3BB69-23CF-44E3-9099-C40C66FF867C}">
                  <a14:compatExt spid="_x0000_s39680"/>
                </a:ext>
                <a:ext uri="{FF2B5EF4-FFF2-40B4-BE49-F238E27FC236}">
                  <a16:creationId xmlns:a16="http://schemas.microsoft.com/office/drawing/2014/main" id="{00000000-0008-0000-0200-000000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32</xdr:row>
          <xdr:rowOff>30480</xdr:rowOff>
        </xdr:from>
        <xdr:to>
          <xdr:col>3</xdr:col>
          <xdr:colOff>1013460</xdr:colOff>
          <xdr:row>33</xdr:row>
          <xdr:rowOff>0</xdr:rowOff>
        </xdr:to>
        <xdr:sp macro="" textlink="">
          <xdr:nvSpPr>
            <xdr:cNvPr id="39681" name="Option Button 769" hidden="1">
              <a:extLst>
                <a:ext uri="{63B3BB69-23CF-44E3-9099-C40C66FF867C}">
                  <a14:compatExt spid="_x0000_s39681"/>
                </a:ext>
                <a:ext uri="{FF2B5EF4-FFF2-40B4-BE49-F238E27FC236}">
                  <a16:creationId xmlns:a16="http://schemas.microsoft.com/office/drawing/2014/main" id="{00000000-0008-0000-0200-000001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32</xdr:row>
          <xdr:rowOff>30480</xdr:rowOff>
        </xdr:from>
        <xdr:to>
          <xdr:col>3</xdr:col>
          <xdr:colOff>1440180</xdr:colOff>
          <xdr:row>33</xdr:row>
          <xdr:rowOff>0</xdr:rowOff>
        </xdr:to>
        <xdr:sp macro="" textlink="">
          <xdr:nvSpPr>
            <xdr:cNvPr id="39682" name="Option Button 770" hidden="1">
              <a:extLst>
                <a:ext uri="{63B3BB69-23CF-44E3-9099-C40C66FF867C}">
                  <a14:compatExt spid="_x0000_s39682"/>
                </a:ext>
                <a:ext uri="{FF2B5EF4-FFF2-40B4-BE49-F238E27FC236}">
                  <a16:creationId xmlns:a16="http://schemas.microsoft.com/office/drawing/2014/main" id="{00000000-0008-0000-0200-000002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Farm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22860</xdr:rowOff>
        </xdr:from>
        <xdr:to>
          <xdr:col>3</xdr:col>
          <xdr:colOff>2849880</xdr:colOff>
          <xdr:row>33</xdr:row>
          <xdr:rowOff>0</xdr:rowOff>
        </xdr:to>
        <xdr:sp macro="" textlink="">
          <xdr:nvSpPr>
            <xdr:cNvPr id="39684" name="M15d_Group" hidden="1">
              <a:extLst>
                <a:ext uri="{63B3BB69-23CF-44E3-9099-C40C66FF867C}">
                  <a14:compatExt spid="_x0000_s39684"/>
                </a:ext>
                <a:ext uri="{FF2B5EF4-FFF2-40B4-BE49-F238E27FC236}">
                  <a16:creationId xmlns:a16="http://schemas.microsoft.com/office/drawing/2014/main" id="{00000000-0008-0000-0200-000004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22860</xdr:rowOff>
        </xdr:from>
        <xdr:to>
          <xdr:col>3</xdr:col>
          <xdr:colOff>411480</xdr:colOff>
          <xdr:row>28</xdr:row>
          <xdr:rowOff>251460</xdr:rowOff>
        </xdr:to>
        <xdr:sp macro="" textlink="">
          <xdr:nvSpPr>
            <xdr:cNvPr id="39690" name="M14b_Radio0" hidden="1">
              <a:extLst>
                <a:ext uri="{63B3BB69-23CF-44E3-9099-C40C66FF867C}">
                  <a14:compatExt spid="_x0000_s39690"/>
                </a:ext>
                <a:ext uri="{FF2B5EF4-FFF2-40B4-BE49-F238E27FC236}">
                  <a16:creationId xmlns:a16="http://schemas.microsoft.com/office/drawing/2014/main" id="{00000000-0008-0000-0200-00000A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28</xdr:row>
          <xdr:rowOff>22860</xdr:rowOff>
        </xdr:from>
        <xdr:to>
          <xdr:col>3</xdr:col>
          <xdr:colOff>861060</xdr:colOff>
          <xdr:row>28</xdr:row>
          <xdr:rowOff>236220</xdr:rowOff>
        </xdr:to>
        <xdr:sp macro="" textlink="">
          <xdr:nvSpPr>
            <xdr:cNvPr id="39691" name="M14b_Radio1" hidden="1">
              <a:extLst>
                <a:ext uri="{63B3BB69-23CF-44E3-9099-C40C66FF867C}">
                  <a14:compatExt spid="_x0000_s39691"/>
                </a:ext>
                <a:ext uri="{FF2B5EF4-FFF2-40B4-BE49-F238E27FC236}">
                  <a16:creationId xmlns:a16="http://schemas.microsoft.com/office/drawing/2014/main" id="{00000000-0008-0000-0200-00000B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28</xdr:row>
          <xdr:rowOff>22860</xdr:rowOff>
        </xdr:from>
        <xdr:to>
          <xdr:col>3</xdr:col>
          <xdr:colOff>1402080</xdr:colOff>
          <xdr:row>28</xdr:row>
          <xdr:rowOff>251460</xdr:rowOff>
        </xdr:to>
        <xdr:sp macro="" textlink="">
          <xdr:nvSpPr>
            <xdr:cNvPr id="39698" name="M14b_Radio2" hidden="1">
              <a:extLst>
                <a:ext uri="{63B3BB69-23CF-44E3-9099-C40C66FF867C}">
                  <a14:compatExt spid="_x0000_s39698"/>
                </a:ext>
                <a:ext uri="{FF2B5EF4-FFF2-40B4-BE49-F238E27FC236}">
                  <a16:creationId xmlns:a16="http://schemas.microsoft.com/office/drawing/2014/main" id="{00000000-0008-0000-0200-000012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1516380</xdr:colOff>
          <xdr:row>28</xdr:row>
          <xdr:rowOff>22860</xdr:rowOff>
        </xdr:from>
        <xdr:to>
          <xdr:col>3</xdr:col>
          <xdr:colOff>1897380</xdr:colOff>
          <xdr:row>28</xdr:row>
          <xdr:rowOff>251460</xdr:rowOff>
        </xdr:to>
        <xdr:sp macro="" textlink="">
          <xdr:nvSpPr>
            <xdr:cNvPr id="39699" name="M14b_Radio3" hidden="1">
              <a:extLst>
                <a:ext uri="{63B3BB69-23CF-44E3-9099-C40C66FF867C}">
                  <a14:compatExt spid="_x0000_s39699"/>
                </a:ext>
                <a:ext uri="{FF2B5EF4-FFF2-40B4-BE49-F238E27FC236}">
                  <a16:creationId xmlns:a16="http://schemas.microsoft.com/office/drawing/2014/main" id="{00000000-0008-0000-0200-000013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2011680</xdr:colOff>
          <xdr:row>28</xdr:row>
          <xdr:rowOff>22860</xdr:rowOff>
        </xdr:from>
        <xdr:to>
          <xdr:col>3</xdr:col>
          <xdr:colOff>2385060</xdr:colOff>
          <xdr:row>28</xdr:row>
          <xdr:rowOff>251460</xdr:rowOff>
        </xdr:to>
        <xdr:sp macro="" textlink="">
          <xdr:nvSpPr>
            <xdr:cNvPr id="39700" name="M14b_Radio4" hidden="1">
              <a:extLst>
                <a:ext uri="{63B3BB69-23CF-44E3-9099-C40C66FF867C}">
                  <a14:compatExt spid="_x0000_s39700"/>
                </a:ext>
                <a:ext uri="{FF2B5EF4-FFF2-40B4-BE49-F238E27FC236}">
                  <a16:creationId xmlns:a16="http://schemas.microsoft.com/office/drawing/2014/main" id="{00000000-0008-0000-0200-000014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7620</xdr:rowOff>
        </xdr:from>
        <xdr:to>
          <xdr:col>6</xdr:col>
          <xdr:colOff>571500</xdr:colOff>
          <xdr:row>28</xdr:row>
          <xdr:rowOff>251460</xdr:rowOff>
        </xdr:to>
        <xdr:sp macro="" textlink="">
          <xdr:nvSpPr>
            <xdr:cNvPr id="39704" name="M14b_Group" hidden="1">
              <a:extLst>
                <a:ext uri="{63B3BB69-23CF-44E3-9099-C40C66FF867C}">
                  <a14:compatExt spid="_x0000_s39704"/>
                </a:ext>
                <a:ext uri="{FF2B5EF4-FFF2-40B4-BE49-F238E27FC236}">
                  <a16:creationId xmlns:a16="http://schemas.microsoft.com/office/drawing/2014/main" id="{00000000-0008-0000-0200-000018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22860</xdr:rowOff>
        </xdr:from>
        <xdr:to>
          <xdr:col>3</xdr:col>
          <xdr:colOff>518160</xdr:colOff>
          <xdr:row>33</xdr:row>
          <xdr:rowOff>251460</xdr:rowOff>
        </xdr:to>
        <xdr:sp macro="" textlink="">
          <xdr:nvSpPr>
            <xdr:cNvPr id="39705" name="Option Button 793" hidden="1">
              <a:extLst>
                <a:ext uri="{63B3BB69-23CF-44E3-9099-C40C66FF867C}">
                  <a14:compatExt spid="_x0000_s39705"/>
                </a:ext>
                <a:ext uri="{FF2B5EF4-FFF2-40B4-BE49-F238E27FC236}">
                  <a16:creationId xmlns:a16="http://schemas.microsoft.com/office/drawing/2014/main" id="{00000000-0008-0000-0200-000019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33</xdr:row>
          <xdr:rowOff>22860</xdr:rowOff>
        </xdr:from>
        <xdr:to>
          <xdr:col>3</xdr:col>
          <xdr:colOff>960120</xdr:colOff>
          <xdr:row>33</xdr:row>
          <xdr:rowOff>251460</xdr:rowOff>
        </xdr:to>
        <xdr:sp macro="" textlink="">
          <xdr:nvSpPr>
            <xdr:cNvPr id="39706" name="Option Button 794" hidden="1">
              <a:extLst>
                <a:ext uri="{63B3BB69-23CF-44E3-9099-C40C66FF867C}">
                  <a14:compatExt spid="_x0000_s39706"/>
                </a:ext>
                <a:ext uri="{FF2B5EF4-FFF2-40B4-BE49-F238E27FC236}">
                  <a16:creationId xmlns:a16="http://schemas.microsoft.com/office/drawing/2014/main" id="{00000000-0008-0000-0200-00001A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33</xdr:row>
          <xdr:rowOff>22860</xdr:rowOff>
        </xdr:from>
        <xdr:to>
          <xdr:col>3</xdr:col>
          <xdr:colOff>1417320</xdr:colOff>
          <xdr:row>33</xdr:row>
          <xdr:rowOff>251460</xdr:rowOff>
        </xdr:to>
        <xdr:sp macro="" textlink="">
          <xdr:nvSpPr>
            <xdr:cNvPr id="39707" name="Option Button 795" hidden="1">
              <a:extLst>
                <a:ext uri="{63B3BB69-23CF-44E3-9099-C40C66FF867C}">
                  <a14:compatExt spid="_x0000_s39707"/>
                </a:ext>
                <a:ext uri="{FF2B5EF4-FFF2-40B4-BE49-F238E27FC236}">
                  <a16:creationId xmlns:a16="http://schemas.microsoft.com/office/drawing/2014/main" id="{00000000-0008-0000-0200-00001B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1516380</xdr:colOff>
          <xdr:row>33</xdr:row>
          <xdr:rowOff>22860</xdr:rowOff>
        </xdr:from>
        <xdr:to>
          <xdr:col>3</xdr:col>
          <xdr:colOff>1950720</xdr:colOff>
          <xdr:row>33</xdr:row>
          <xdr:rowOff>251460</xdr:rowOff>
        </xdr:to>
        <xdr:sp macro="" textlink="">
          <xdr:nvSpPr>
            <xdr:cNvPr id="39708" name="Option Button 796" hidden="1">
              <a:extLst>
                <a:ext uri="{63B3BB69-23CF-44E3-9099-C40C66FF867C}">
                  <a14:compatExt spid="_x0000_s39708"/>
                </a:ext>
                <a:ext uri="{FF2B5EF4-FFF2-40B4-BE49-F238E27FC236}">
                  <a16:creationId xmlns:a16="http://schemas.microsoft.com/office/drawing/2014/main" id="{00000000-0008-0000-0200-00001C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2011680</xdr:colOff>
          <xdr:row>33</xdr:row>
          <xdr:rowOff>22860</xdr:rowOff>
        </xdr:from>
        <xdr:to>
          <xdr:col>3</xdr:col>
          <xdr:colOff>2499360</xdr:colOff>
          <xdr:row>33</xdr:row>
          <xdr:rowOff>251460</xdr:rowOff>
        </xdr:to>
        <xdr:sp macro="" textlink="">
          <xdr:nvSpPr>
            <xdr:cNvPr id="39709" name="Option Button 797" hidden="1">
              <a:extLst>
                <a:ext uri="{63B3BB69-23CF-44E3-9099-C40C66FF867C}">
                  <a14:compatExt spid="_x0000_s39709"/>
                </a:ext>
                <a:ext uri="{FF2B5EF4-FFF2-40B4-BE49-F238E27FC236}">
                  <a16:creationId xmlns:a16="http://schemas.microsoft.com/office/drawing/2014/main" id="{00000000-0008-0000-0200-00001D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2499360</xdr:colOff>
          <xdr:row>33</xdr:row>
          <xdr:rowOff>22860</xdr:rowOff>
        </xdr:from>
        <xdr:to>
          <xdr:col>3</xdr:col>
          <xdr:colOff>2994660</xdr:colOff>
          <xdr:row>33</xdr:row>
          <xdr:rowOff>251460</xdr:rowOff>
        </xdr:to>
        <xdr:sp macro="" textlink="">
          <xdr:nvSpPr>
            <xdr:cNvPr id="39710" name="Option Button 798" hidden="1">
              <a:extLst>
                <a:ext uri="{63B3BB69-23CF-44E3-9099-C40C66FF867C}">
                  <a14:compatExt spid="_x0000_s39710"/>
                </a:ext>
                <a:ext uri="{FF2B5EF4-FFF2-40B4-BE49-F238E27FC236}">
                  <a16:creationId xmlns:a16="http://schemas.microsoft.com/office/drawing/2014/main" id="{00000000-0008-0000-0200-00001E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3009900</xdr:colOff>
          <xdr:row>33</xdr:row>
          <xdr:rowOff>22860</xdr:rowOff>
        </xdr:from>
        <xdr:to>
          <xdr:col>3</xdr:col>
          <xdr:colOff>3436620</xdr:colOff>
          <xdr:row>33</xdr:row>
          <xdr:rowOff>251460</xdr:rowOff>
        </xdr:to>
        <xdr:sp macro="" textlink="">
          <xdr:nvSpPr>
            <xdr:cNvPr id="39711" name="Option Button 799" hidden="1">
              <a:extLst>
                <a:ext uri="{63B3BB69-23CF-44E3-9099-C40C66FF867C}">
                  <a14:compatExt spid="_x0000_s39711"/>
                </a:ext>
                <a:ext uri="{FF2B5EF4-FFF2-40B4-BE49-F238E27FC236}">
                  <a16:creationId xmlns:a16="http://schemas.microsoft.com/office/drawing/2014/main" id="{00000000-0008-0000-0200-00001F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251460</xdr:rowOff>
        </xdr:from>
        <xdr:to>
          <xdr:col>4</xdr:col>
          <xdr:colOff>0</xdr:colOff>
          <xdr:row>34</xdr:row>
          <xdr:rowOff>0</xdr:rowOff>
        </xdr:to>
        <xdr:sp macro="" textlink="">
          <xdr:nvSpPr>
            <xdr:cNvPr id="39712" name="Precision_Group" hidden="1">
              <a:extLst>
                <a:ext uri="{63B3BB69-23CF-44E3-9099-C40C66FF867C}">
                  <a14:compatExt spid="_x0000_s39712"/>
                </a:ext>
                <a:ext uri="{FF2B5EF4-FFF2-40B4-BE49-F238E27FC236}">
                  <a16:creationId xmlns:a16="http://schemas.microsoft.com/office/drawing/2014/main" id="{00000000-0008-0000-0200-000020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4</xdr:row>
          <xdr:rowOff>7620</xdr:rowOff>
        </xdr:from>
        <xdr:to>
          <xdr:col>3</xdr:col>
          <xdr:colOff>563880</xdr:colOff>
          <xdr:row>4</xdr:row>
          <xdr:rowOff>228600</xdr:rowOff>
        </xdr:to>
        <xdr:sp macro="" textlink="">
          <xdr:nvSpPr>
            <xdr:cNvPr id="39713" name="Option Button 801" hidden="1">
              <a:extLst>
                <a:ext uri="{63B3BB69-23CF-44E3-9099-C40C66FF867C}">
                  <a14:compatExt spid="_x0000_s39713"/>
                </a:ext>
                <a:ext uri="{FF2B5EF4-FFF2-40B4-BE49-F238E27FC236}">
                  <a16:creationId xmlns:a16="http://schemas.microsoft.com/office/drawing/2014/main" id="{00000000-0008-0000-0200-000021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4</xdr:row>
          <xdr:rowOff>7620</xdr:rowOff>
        </xdr:from>
        <xdr:to>
          <xdr:col>3</xdr:col>
          <xdr:colOff>1021080</xdr:colOff>
          <xdr:row>4</xdr:row>
          <xdr:rowOff>228600</xdr:rowOff>
        </xdr:to>
        <xdr:sp macro="" textlink="">
          <xdr:nvSpPr>
            <xdr:cNvPr id="39714" name="Option Button 802" descr="No" hidden="1">
              <a:extLst>
                <a:ext uri="{63B3BB69-23CF-44E3-9099-C40C66FF867C}">
                  <a14:compatExt spid="_x0000_s39714"/>
                </a:ext>
                <a:ext uri="{FF2B5EF4-FFF2-40B4-BE49-F238E27FC236}">
                  <a16:creationId xmlns:a16="http://schemas.microsoft.com/office/drawing/2014/main" id="{00000000-0008-0000-0200-000022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365760</xdr:rowOff>
        </xdr:from>
        <xdr:to>
          <xdr:col>3</xdr:col>
          <xdr:colOff>1143000</xdr:colOff>
          <xdr:row>4</xdr:row>
          <xdr:rowOff>251460</xdr:rowOff>
        </xdr:to>
        <xdr:sp macro="" textlink="">
          <xdr:nvSpPr>
            <xdr:cNvPr id="39715" name="M1a_Group" hidden="1">
              <a:extLst>
                <a:ext uri="{63B3BB69-23CF-44E3-9099-C40C66FF867C}">
                  <a14:compatExt spid="_x0000_s39715"/>
                </a:ext>
                <a:ext uri="{FF2B5EF4-FFF2-40B4-BE49-F238E27FC236}">
                  <a16:creationId xmlns:a16="http://schemas.microsoft.com/office/drawing/2014/main" id="{00000000-0008-0000-0200-000023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xdr:row>
          <xdr:rowOff>7620</xdr:rowOff>
        </xdr:from>
        <xdr:to>
          <xdr:col>3</xdr:col>
          <xdr:colOff>556260</xdr:colOff>
          <xdr:row>9</xdr:row>
          <xdr:rowOff>236220</xdr:rowOff>
        </xdr:to>
        <xdr:sp macro="" textlink="">
          <xdr:nvSpPr>
            <xdr:cNvPr id="39716" name="Option Button 804" hidden="1">
              <a:extLst>
                <a:ext uri="{63B3BB69-23CF-44E3-9099-C40C66FF867C}">
                  <a14:compatExt spid="_x0000_s39716"/>
                </a:ext>
                <a:ext uri="{FF2B5EF4-FFF2-40B4-BE49-F238E27FC236}">
                  <a16:creationId xmlns:a16="http://schemas.microsoft.com/office/drawing/2014/main" id="{00000000-0008-0000-0200-000024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9</xdr:row>
          <xdr:rowOff>7620</xdr:rowOff>
        </xdr:from>
        <xdr:to>
          <xdr:col>3</xdr:col>
          <xdr:colOff>1013460</xdr:colOff>
          <xdr:row>9</xdr:row>
          <xdr:rowOff>236220</xdr:rowOff>
        </xdr:to>
        <xdr:sp macro="" textlink="">
          <xdr:nvSpPr>
            <xdr:cNvPr id="39717" name="Option Button 805" hidden="1">
              <a:extLst>
                <a:ext uri="{63B3BB69-23CF-44E3-9099-C40C66FF867C}">
                  <a14:compatExt spid="_x0000_s39717"/>
                </a:ext>
                <a:ext uri="{FF2B5EF4-FFF2-40B4-BE49-F238E27FC236}">
                  <a16:creationId xmlns:a16="http://schemas.microsoft.com/office/drawing/2014/main" id="{00000000-0008-0000-0200-000025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9</xdr:row>
          <xdr:rowOff>7620</xdr:rowOff>
        </xdr:from>
        <xdr:to>
          <xdr:col>3</xdr:col>
          <xdr:colOff>1447800</xdr:colOff>
          <xdr:row>9</xdr:row>
          <xdr:rowOff>236220</xdr:rowOff>
        </xdr:to>
        <xdr:sp macro="" textlink="">
          <xdr:nvSpPr>
            <xdr:cNvPr id="39718" name="Option Button 806" hidden="1">
              <a:extLst>
                <a:ext uri="{63B3BB69-23CF-44E3-9099-C40C66FF867C}">
                  <a14:compatExt spid="_x0000_s39718"/>
                </a:ext>
                <a:ext uri="{FF2B5EF4-FFF2-40B4-BE49-F238E27FC236}">
                  <a16:creationId xmlns:a16="http://schemas.microsoft.com/office/drawing/2014/main" id="{00000000-0008-0000-0200-000026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8</xdr:row>
          <xdr:rowOff>259080</xdr:rowOff>
        </xdr:from>
        <xdr:to>
          <xdr:col>3</xdr:col>
          <xdr:colOff>2849880</xdr:colOff>
          <xdr:row>9</xdr:row>
          <xdr:rowOff>251460</xdr:rowOff>
        </xdr:to>
        <xdr:sp macro="" textlink="">
          <xdr:nvSpPr>
            <xdr:cNvPr id="39720" name="M4a_Group" hidden="1">
              <a:extLst>
                <a:ext uri="{63B3BB69-23CF-44E3-9099-C40C66FF867C}">
                  <a14:compatExt spid="_x0000_s39720"/>
                </a:ext>
                <a:ext uri="{FF2B5EF4-FFF2-40B4-BE49-F238E27FC236}">
                  <a16:creationId xmlns:a16="http://schemas.microsoft.com/office/drawing/2014/main" id="{00000000-0008-0000-0200-000028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7620</xdr:rowOff>
        </xdr:from>
        <xdr:to>
          <xdr:col>3</xdr:col>
          <xdr:colOff>556260</xdr:colOff>
          <xdr:row>12</xdr:row>
          <xdr:rowOff>236220</xdr:rowOff>
        </xdr:to>
        <xdr:sp macro="" textlink="">
          <xdr:nvSpPr>
            <xdr:cNvPr id="39727" name="Option Button 815" hidden="1">
              <a:extLst>
                <a:ext uri="{63B3BB69-23CF-44E3-9099-C40C66FF867C}">
                  <a14:compatExt spid="_x0000_s39727"/>
                </a:ext>
                <a:ext uri="{FF2B5EF4-FFF2-40B4-BE49-F238E27FC236}">
                  <a16:creationId xmlns:a16="http://schemas.microsoft.com/office/drawing/2014/main" id="{00000000-0008-0000-0200-00002F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12</xdr:row>
          <xdr:rowOff>7620</xdr:rowOff>
        </xdr:from>
        <xdr:to>
          <xdr:col>3</xdr:col>
          <xdr:colOff>1013460</xdr:colOff>
          <xdr:row>12</xdr:row>
          <xdr:rowOff>236220</xdr:rowOff>
        </xdr:to>
        <xdr:sp macro="" textlink="">
          <xdr:nvSpPr>
            <xdr:cNvPr id="39728" name="Option Button 816" hidden="1">
              <a:extLst>
                <a:ext uri="{63B3BB69-23CF-44E3-9099-C40C66FF867C}">
                  <a14:compatExt spid="_x0000_s39728"/>
                </a:ext>
                <a:ext uri="{FF2B5EF4-FFF2-40B4-BE49-F238E27FC236}">
                  <a16:creationId xmlns:a16="http://schemas.microsoft.com/office/drawing/2014/main" id="{00000000-0008-0000-0200-000030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1242060</xdr:colOff>
          <xdr:row>12</xdr:row>
          <xdr:rowOff>7620</xdr:rowOff>
        </xdr:from>
        <xdr:to>
          <xdr:col>3</xdr:col>
          <xdr:colOff>2316480</xdr:colOff>
          <xdr:row>12</xdr:row>
          <xdr:rowOff>228600</xdr:rowOff>
        </xdr:to>
        <xdr:sp macro="" textlink="">
          <xdr:nvSpPr>
            <xdr:cNvPr id="39729" name="Option Button 817" hidden="1">
              <a:extLst>
                <a:ext uri="{63B3BB69-23CF-44E3-9099-C40C66FF867C}">
                  <a14:compatExt spid="_x0000_s39729"/>
                </a:ext>
                <a:ext uri="{FF2B5EF4-FFF2-40B4-BE49-F238E27FC236}">
                  <a16:creationId xmlns:a16="http://schemas.microsoft.com/office/drawing/2014/main" id="{00000000-0008-0000-0200-000031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Completely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12</xdr:row>
          <xdr:rowOff>0</xdr:rowOff>
        </xdr:from>
        <xdr:to>
          <xdr:col>3</xdr:col>
          <xdr:colOff>2849880</xdr:colOff>
          <xdr:row>12</xdr:row>
          <xdr:rowOff>251460</xdr:rowOff>
        </xdr:to>
        <xdr:sp macro="" textlink="">
          <xdr:nvSpPr>
            <xdr:cNvPr id="39730" name="M5a_Group" hidden="1">
              <a:extLst>
                <a:ext uri="{63B3BB69-23CF-44E3-9099-C40C66FF867C}">
                  <a14:compatExt spid="_x0000_s39730"/>
                </a:ext>
                <a:ext uri="{FF2B5EF4-FFF2-40B4-BE49-F238E27FC236}">
                  <a16:creationId xmlns:a16="http://schemas.microsoft.com/office/drawing/2014/main" id="{00000000-0008-0000-0200-000032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30480</xdr:rowOff>
        </xdr:from>
        <xdr:to>
          <xdr:col>3</xdr:col>
          <xdr:colOff>556260</xdr:colOff>
          <xdr:row>13</xdr:row>
          <xdr:rowOff>251460</xdr:rowOff>
        </xdr:to>
        <xdr:sp macro="" textlink="">
          <xdr:nvSpPr>
            <xdr:cNvPr id="39731" name="Option Button 819" hidden="1">
              <a:extLst>
                <a:ext uri="{63B3BB69-23CF-44E3-9099-C40C66FF867C}">
                  <a14:compatExt spid="_x0000_s39731"/>
                </a:ext>
                <a:ext uri="{FF2B5EF4-FFF2-40B4-BE49-F238E27FC236}">
                  <a16:creationId xmlns:a16="http://schemas.microsoft.com/office/drawing/2014/main" id="{00000000-0008-0000-0200-000033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13</xdr:row>
          <xdr:rowOff>30480</xdr:rowOff>
        </xdr:from>
        <xdr:to>
          <xdr:col>3</xdr:col>
          <xdr:colOff>1013460</xdr:colOff>
          <xdr:row>13</xdr:row>
          <xdr:rowOff>251460</xdr:rowOff>
        </xdr:to>
        <xdr:sp macro="" textlink="">
          <xdr:nvSpPr>
            <xdr:cNvPr id="39732" name="Option Button 820" descr="No" hidden="1">
              <a:extLst>
                <a:ext uri="{63B3BB69-23CF-44E3-9099-C40C66FF867C}">
                  <a14:compatExt spid="_x0000_s39732"/>
                </a:ext>
                <a:ext uri="{FF2B5EF4-FFF2-40B4-BE49-F238E27FC236}">
                  <a16:creationId xmlns:a16="http://schemas.microsoft.com/office/drawing/2014/main" id="{00000000-0008-0000-0200-000034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1143000</xdr:colOff>
          <xdr:row>14</xdr:row>
          <xdr:rowOff>0</xdr:rowOff>
        </xdr:to>
        <xdr:sp macro="" textlink="">
          <xdr:nvSpPr>
            <xdr:cNvPr id="39733" name="M6a_Group" hidden="1">
              <a:extLst>
                <a:ext uri="{63B3BB69-23CF-44E3-9099-C40C66FF867C}">
                  <a14:compatExt spid="_x0000_s39733"/>
                </a:ext>
                <a:ext uri="{FF2B5EF4-FFF2-40B4-BE49-F238E27FC236}">
                  <a16:creationId xmlns:a16="http://schemas.microsoft.com/office/drawing/2014/main" id="{00000000-0008-0000-0200-000035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2011680</xdr:colOff>
          <xdr:row>14</xdr:row>
          <xdr:rowOff>22860</xdr:rowOff>
        </xdr:from>
        <xdr:to>
          <xdr:col>3</xdr:col>
          <xdr:colOff>2385060</xdr:colOff>
          <xdr:row>14</xdr:row>
          <xdr:rowOff>251460</xdr:rowOff>
        </xdr:to>
        <xdr:sp macro="" textlink="">
          <xdr:nvSpPr>
            <xdr:cNvPr id="39735" name="Option Button 823" hidden="1">
              <a:extLst>
                <a:ext uri="{63B3BB69-23CF-44E3-9099-C40C66FF867C}">
                  <a14:compatExt spid="_x0000_s39735"/>
                </a:ext>
                <a:ext uri="{FF2B5EF4-FFF2-40B4-BE49-F238E27FC236}">
                  <a16:creationId xmlns:a16="http://schemas.microsoft.com/office/drawing/2014/main" id="{00000000-0008-0000-0200-000037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76200</xdr:rowOff>
        </xdr:from>
        <xdr:to>
          <xdr:col>3</xdr:col>
          <xdr:colOff>556260</xdr:colOff>
          <xdr:row>16</xdr:row>
          <xdr:rowOff>304800</xdr:rowOff>
        </xdr:to>
        <xdr:sp macro="" textlink="">
          <xdr:nvSpPr>
            <xdr:cNvPr id="39736" name="Option Button 824" hidden="1">
              <a:extLst>
                <a:ext uri="{63B3BB69-23CF-44E3-9099-C40C66FF867C}">
                  <a14:compatExt spid="_x0000_s39736"/>
                </a:ext>
                <a:ext uri="{FF2B5EF4-FFF2-40B4-BE49-F238E27FC236}">
                  <a16:creationId xmlns:a16="http://schemas.microsoft.com/office/drawing/2014/main" id="{00000000-0008-0000-0200-000038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16</xdr:row>
          <xdr:rowOff>76200</xdr:rowOff>
        </xdr:from>
        <xdr:to>
          <xdr:col>3</xdr:col>
          <xdr:colOff>1013460</xdr:colOff>
          <xdr:row>16</xdr:row>
          <xdr:rowOff>304800</xdr:rowOff>
        </xdr:to>
        <xdr:sp macro="" textlink="">
          <xdr:nvSpPr>
            <xdr:cNvPr id="39737" name="Option Button 825" hidden="1">
              <a:extLst>
                <a:ext uri="{63B3BB69-23CF-44E3-9099-C40C66FF867C}">
                  <a14:compatExt spid="_x0000_s39737"/>
                </a:ext>
                <a:ext uri="{FF2B5EF4-FFF2-40B4-BE49-F238E27FC236}">
                  <a16:creationId xmlns:a16="http://schemas.microsoft.com/office/drawing/2014/main" id="{00000000-0008-0000-0200-000039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16</xdr:row>
          <xdr:rowOff>76200</xdr:rowOff>
        </xdr:from>
        <xdr:to>
          <xdr:col>3</xdr:col>
          <xdr:colOff>1447800</xdr:colOff>
          <xdr:row>16</xdr:row>
          <xdr:rowOff>304800</xdr:rowOff>
        </xdr:to>
        <xdr:sp macro="" textlink="">
          <xdr:nvSpPr>
            <xdr:cNvPr id="39738" name="Option Button 826" hidden="1">
              <a:extLst>
                <a:ext uri="{63B3BB69-23CF-44E3-9099-C40C66FF867C}">
                  <a14:compatExt spid="_x0000_s39738"/>
                </a:ext>
                <a:ext uri="{FF2B5EF4-FFF2-40B4-BE49-F238E27FC236}">
                  <a16:creationId xmlns:a16="http://schemas.microsoft.com/office/drawing/2014/main" id="{00000000-0008-0000-0200-00003A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16</xdr:row>
          <xdr:rowOff>0</xdr:rowOff>
        </xdr:from>
        <xdr:to>
          <xdr:col>3</xdr:col>
          <xdr:colOff>2849880</xdr:colOff>
          <xdr:row>16</xdr:row>
          <xdr:rowOff>251460</xdr:rowOff>
        </xdr:to>
        <xdr:sp macro="" textlink="">
          <xdr:nvSpPr>
            <xdr:cNvPr id="39739" name="M7b_Group" hidden="1">
              <a:extLst>
                <a:ext uri="{63B3BB69-23CF-44E3-9099-C40C66FF867C}">
                  <a14:compatExt spid="_x0000_s39739"/>
                </a:ext>
                <a:ext uri="{FF2B5EF4-FFF2-40B4-BE49-F238E27FC236}">
                  <a16:creationId xmlns:a16="http://schemas.microsoft.com/office/drawing/2014/main" id="{00000000-0008-0000-0200-00003B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30480</xdr:rowOff>
        </xdr:from>
        <xdr:to>
          <xdr:col>3</xdr:col>
          <xdr:colOff>556260</xdr:colOff>
          <xdr:row>19</xdr:row>
          <xdr:rowOff>251460</xdr:rowOff>
        </xdr:to>
        <xdr:sp macro="" textlink="">
          <xdr:nvSpPr>
            <xdr:cNvPr id="39740" name="Option Button 828" hidden="1">
              <a:extLst>
                <a:ext uri="{63B3BB69-23CF-44E3-9099-C40C66FF867C}">
                  <a14:compatExt spid="_x0000_s39740"/>
                </a:ext>
                <a:ext uri="{FF2B5EF4-FFF2-40B4-BE49-F238E27FC236}">
                  <a16:creationId xmlns:a16="http://schemas.microsoft.com/office/drawing/2014/main" id="{00000000-0008-0000-0200-00003C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19</xdr:row>
          <xdr:rowOff>30480</xdr:rowOff>
        </xdr:from>
        <xdr:to>
          <xdr:col>3</xdr:col>
          <xdr:colOff>1013460</xdr:colOff>
          <xdr:row>19</xdr:row>
          <xdr:rowOff>251460</xdr:rowOff>
        </xdr:to>
        <xdr:sp macro="" textlink="">
          <xdr:nvSpPr>
            <xdr:cNvPr id="39741" name="Option Button 829" descr="No" hidden="1">
              <a:extLst>
                <a:ext uri="{63B3BB69-23CF-44E3-9099-C40C66FF867C}">
                  <a14:compatExt spid="_x0000_s39741"/>
                </a:ext>
                <a:ext uri="{FF2B5EF4-FFF2-40B4-BE49-F238E27FC236}">
                  <a16:creationId xmlns:a16="http://schemas.microsoft.com/office/drawing/2014/main" id="{00000000-0008-0000-0200-00003D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1135380</xdr:colOff>
          <xdr:row>20</xdr:row>
          <xdr:rowOff>0</xdr:rowOff>
        </xdr:to>
        <xdr:sp macro="" textlink="">
          <xdr:nvSpPr>
            <xdr:cNvPr id="39742" name="M9b_Group" hidden="1">
              <a:extLst>
                <a:ext uri="{63B3BB69-23CF-44E3-9099-C40C66FF867C}">
                  <a14:compatExt spid="_x0000_s39742"/>
                </a:ext>
                <a:ext uri="{FF2B5EF4-FFF2-40B4-BE49-F238E27FC236}">
                  <a16:creationId xmlns:a16="http://schemas.microsoft.com/office/drawing/2014/main" id="{00000000-0008-0000-0200-00003E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22860</xdr:rowOff>
        </xdr:from>
        <xdr:to>
          <xdr:col>3</xdr:col>
          <xdr:colOff>411480</xdr:colOff>
          <xdr:row>27</xdr:row>
          <xdr:rowOff>236220</xdr:rowOff>
        </xdr:to>
        <xdr:sp macro="" textlink="">
          <xdr:nvSpPr>
            <xdr:cNvPr id="39746" name="M14a_Radio0" hidden="1">
              <a:extLst>
                <a:ext uri="{63B3BB69-23CF-44E3-9099-C40C66FF867C}">
                  <a14:compatExt spid="_x0000_s39746"/>
                </a:ext>
                <a:ext uri="{FF2B5EF4-FFF2-40B4-BE49-F238E27FC236}">
                  <a16:creationId xmlns:a16="http://schemas.microsoft.com/office/drawing/2014/main" id="{00000000-0008-0000-0200-000042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27</xdr:row>
          <xdr:rowOff>22860</xdr:rowOff>
        </xdr:from>
        <xdr:to>
          <xdr:col>3</xdr:col>
          <xdr:colOff>861060</xdr:colOff>
          <xdr:row>27</xdr:row>
          <xdr:rowOff>236220</xdr:rowOff>
        </xdr:to>
        <xdr:sp macro="" textlink="">
          <xdr:nvSpPr>
            <xdr:cNvPr id="39747" name="M14a_Radio1" hidden="1">
              <a:extLst>
                <a:ext uri="{63B3BB69-23CF-44E3-9099-C40C66FF867C}">
                  <a14:compatExt spid="_x0000_s39747"/>
                </a:ext>
                <a:ext uri="{FF2B5EF4-FFF2-40B4-BE49-F238E27FC236}">
                  <a16:creationId xmlns:a16="http://schemas.microsoft.com/office/drawing/2014/main" id="{00000000-0008-0000-0200-000043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27</xdr:row>
          <xdr:rowOff>22860</xdr:rowOff>
        </xdr:from>
        <xdr:to>
          <xdr:col>3</xdr:col>
          <xdr:colOff>1402080</xdr:colOff>
          <xdr:row>27</xdr:row>
          <xdr:rowOff>251460</xdr:rowOff>
        </xdr:to>
        <xdr:sp macro="" textlink="">
          <xdr:nvSpPr>
            <xdr:cNvPr id="39748" name="M14a_Radio2" hidden="1">
              <a:extLst>
                <a:ext uri="{63B3BB69-23CF-44E3-9099-C40C66FF867C}">
                  <a14:compatExt spid="_x0000_s39748"/>
                </a:ext>
                <a:ext uri="{FF2B5EF4-FFF2-40B4-BE49-F238E27FC236}">
                  <a16:creationId xmlns:a16="http://schemas.microsoft.com/office/drawing/2014/main" id="{00000000-0008-0000-0200-000044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1516380</xdr:colOff>
          <xdr:row>27</xdr:row>
          <xdr:rowOff>22860</xdr:rowOff>
        </xdr:from>
        <xdr:to>
          <xdr:col>3</xdr:col>
          <xdr:colOff>1897380</xdr:colOff>
          <xdr:row>27</xdr:row>
          <xdr:rowOff>251460</xdr:rowOff>
        </xdr:to>
        <xdr:sp macro="" textlink="">
          <xdr:nvSpPr>
            <xdr:cNvPr id="39749" name="M14a_Radio3" hidden="1">
              <a:extLst>
                <a:ext uri="{63B3BB69-23CF-44E3-9099-C40C66FF867C}">
                  <a14:compatExt spid="_x0000_s39749"/>
                </a:ext>
                <a:ext uri="{FF2B5EF4-FFF2-40B4-BE49-F238E27FC236}">
                  <a16:creationId xmlns:a16="http://schemas.microsoft.com/office/drawing/2014/main" id="{00000000-0008-0000-0200-000045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2011680</xdr:colOff>
          <xdr:row>27</xdr:row>
          <xdr:rowOff>22860</xdr:rowOff>
        </xdr:from>
        <xdr:to>
          <xdr:col>3</xdr:col>
          <xdr:colOff>2385060</xdr:colOff>
          <xdr:row>27</xdr:row>
          <xdr:rowOff>236220</xdr:rowOff>
        </xdr:to>
        <xdr:sp macro="" textlink="">
          <xdr:nvSpPr>
            <xdr:cNvPr id="39750" name="M14a_Radio4" hidden="1">
              <a:extLst>
                <a:ext uri="{63B3BB69-23CF-44E3-9099-C40C66FF867C}">
                  <a14:compatExt spid="_x0000_s39750"/>
                </a:ext>
                <a:ext uri="{FF2B5EF4-FFF2-40B4-BE49-F238E27FC236}">
                  <a16:creationId xmlns:a16="http://schemas.microsoft.com/office/drawing/2014/main" id="{00000000-0008-0000-0200-000046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7620</xdr:rowOff>
        </xdr:from>
        <xdr:to>
          <xdr:col>6</xdr:col>
          <xdr:colOff>571500</xdr:colOff>
          <xdr:row>27</xdr:row>
          <xdr:rowOff>251460</xdr:rowOff>
        </xdr:to>
        <xdr:sp macro="" textlink="">
          <xdr:nvSpPr>
            <xdr:cNvPr id="39754" name="M14a_Group" hidden="1">
              <a:extLst>
                <a:ext uri="{63B3BB69-23CF-44E3-9099-C40C66FF867C}">
                  <a14:compatExt spid="_x0000_s39754"/>
                </a:ext>
                <a:ext uri="{FF2B5EF4-FFF2-40B4-BE49-F238E27FC236}">
                  <a16:creationId xmlns:a16="http://schemas.microsoft.com/office/drawing/2014/main" id="{00000000-0008-0000-0200-00004A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31</xdr:row>
          <xdr:rowOff>22860</xdr:rowOff>
        </xdr:from>
        <xdr:to>
          <xdr:col>3</xdr:col>
          <xdr:colOff>2849880</xdr:colOff>
          <xdr:row>32</xdr:row>
          <xdr:rowOff>0</xdr:rowOff>
        </xdr:to>
        <xdr:sp macro="" textlink="">
          <xdr:nvSpPr>
            <xdr:cNvPr id="39759" name="M15c_Group" hidden="1">
              <a:extLst>
                <a:ext uri="{63B3BB69-23CF-44E3-9099-C40C66FF867C}">
                  <a14:compatExt spid="_x0000_s39759"/>
                </a:ext>
                <a:ext uri="{FF2B5EF4-FFF2-40B4-BE49-F238E27FC236}">
                  <a16:creationId xmlns:a16="http://schemas.microsoft.com/office/drawing/2014/main" id="{00000000-0008-0000-0200-00004F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30</xdr:row>
          <xdr:rowOff>22860</xdr:rowOff>
        </xdr:from>
        <xdr:to>
          <xdr:col>3</xdr:col>
          <xdr:colOff>2849880</xdr:colOff>
          <xdr:row>31</xdr:row>
          <xdr:rowOff>0</xdr:rowOff>
        </xdr:to>
        <xdr:sp macro="" textlink="">
          <xdr:nvSpPr>
            <xdr:cNvPr id="39765" name="M15b_Group" hidden="1">
              <a:extLst>
                <a:ext uri="{63B3BB69-23CF-44E3-9099-C40C66FF867C}">
                  <a14:compatExt spid="_x0000_s39765"/>
                </a:ext>
                <a:ext uri="{FF2B5EF4-FFF2-40B4-BE49-F238E27FC236}">
                  <a16:creationId xmlns:a16="http://schemas.microsoft.com/office/drawing/2014/main" id="{00000000-0008-0000-0200-000055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28</xdr:row>
          <xdr:rowOff>251460</xdr:rowOff>
        </xdr:from>
        <xdr:to>
          <xdr:col>4</xdr:col>
          <xdr:colOff>0</xdr:colOff>
          <xdr:row>30</xdr:row>
          <xdr:rowOff>0</xdr:rowOff>
        </xdr:to>
        <xdr:sp macro="" textlink="">
          <xdr:nvSpPr>
            <xdr:cNvPr id="39766" name="M15a_Group" hidden="1">
              <a:extLst>
                <a:ext uri="{63B3BB69-23CF-44E3-9099-C40C66FF867C}">
                  <a14:compatExt spid="_x0000_s39766"/>
                </a:ext>
                <a:ext uri="{FF2B5EF4-FFF2-40B4-BE49-F238E27FC236}">
                  <a16:creationId xmlns:a16="http://schemas.microsoft.com/office/drawing/2014/main" id="{00000000-0008-0000-0200-0000569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30480</xdr:rowOff>
        </xdr:from>
        <xdr:to>
          <xdr:col>3</xdr:col>
          <xdr:colOff>556260</xdr:colOff>
          <xdr:row>30</xdr:row>
          <xdr:rowOff>0</xdr:rowOff>
        </xdr:to>
        <xdr:sp macro="" textlink="">
          <xdr:nvSpPr>
            <xdr:cNvPr id="39767" name="Option Button 855" hidden="1">
              <a:extLst>
                <a:ext uri="{63B3BB69-23CF-44E3-9099-C40C66FF867C}">
                  <a14:compatExt spid="_x0000_s39767"/>
                </a:ext>
                <a:ext uri="{FF2B5EF4-FFF2-40B4-BE49-F238E27FC236}">
                  <a16:creationId xmlns:a16="http://schemas.microsoft.com/office/drawing/2014/main" id="{00000000-0008-0000-0200-000057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29</xdr:row>
          <xdr:rowOff>30480</xdr:rowOff>
        </xdr:from>
        <xdr:to>
          <xdr:col>3</xdr:col>
          <xdr:colOff>1013460</xdr:colOff>
          <xdr:row>30</xdr:row>
          <xdr:rowOff>0</xdr:rowOff>
        </xdr:to>
        <xdr:sp macro="" textlink="">
          <xdr:nvSpPr>
            <xdr:cNvPr id="39768" name="Option Button 856" hidden="1">
              <a:extLst>
                <a:ext uri="{63B3BB69-23CF-44E3-9099-C40C66FF867C}">
                  <a14:compatExt spid="_x0000_s39768"/>
                </a:ext>
                <a:ext uri="{FF2B5EF4-FFF2-40B4-BE49-F238E27FC236}">
                  <a16:creationId xmlns:a16="http://schemas.microsoft.com/office/drawing/2014/main" id="{00000000-0008-0000-0200-000058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30480</xdr:rowOff>
        </xdr:from>
        <xdr:to>
          <xdr:col>3</xdr:col>
          <xdr:colOff>556260</xdr:colOff>
          <xdr:row>31</xdr:row>
          <xdr:rowOff>0</xdr:rowOff>
        </xdr:to>
        <xdr:sp macro="" textlink="">
          <xdr:nvSpPr>
            <xdr:cNvPr id="39774" name="Option Button 862" hidden="1">
              <a:extLst>
                <a:ext uri="{63B3BB69-23CF-44E3-9099-C40C66FF867C}">
                  <a14:compatExt spid="_x0000_s39774"/>
                </a:ext>
                <a:ext uri="{FF2B5EF4-FFF2-40B4-BE49-F238E27FC236}">
                  <a16:creationId xmlns:a16="http://schemas.microsoft.com/office/drawing/2014/main" id="{00000000-0008-0000-0200-00005E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30</xdr:row>
          <xdr:rowOff>30480</xdr:rowOff>
        </xdr:from>
        <xdr:to>
          <xdr:col>3</xdr:col>
          <xdr:colOff>998220</xdr:colOff>
          <xdr:row>31</xdr:row>
          <xdr:rowOff>0</xdr:rowOff>
        </xdr:to>
        <xdr:sp macro="" textlink="">
          <xdr:nvSpPr>
            <xdr:cNvPr id="39775" name="Option Button 863" hidden="1">
              <a:extLst>
                <a:ext uri="{63B3BB69-23CF-44E3-9099-C40C66FF867C}">
                  <a14:compatExt spid="_x0000_s39775"/>
                </a:ext>
                <a:ext uri="{FF2B5EF4-FFF2-40B4-BE49-F238E27FC236}">
                  <a16:creationId xmlns:a16="http://schemas.microsoft.com/office/drawing/2014/main" id="{00000000-0008-0000-0200-00005F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30480</xdr:rowOff>
        </xdr:from>
        <xdr:to>
          <xdr:col>3</xdr:col>
          <xdr:colOff>556260</xdr:colOff>
          <xdr:row>32</xdr:row>
          <xdr:rowOff>0</xdr:rowOff>
        </xdr:to>
        <xdr:sp macro="" textlink="">
          <xdr:nvSpPr>
            <xdr:cNvPr id="39776" name="Option Button 864" hidden="1">
              <a:extLst>
                <a:ext uri="{63B3BB69-23CF-44E3-9099-C40C66FF867C}">
                  <a14:compatExt spid="_x0000_s39776"/>
                </a:ext>
                <a:ext uri="{FF2B5EF4-FFF2-40B4-BE49-F238E27FC236}">
                  <a16:creationId xmlns:a16="http://schemas.microsoft.com/office/drawing/2014/main" id="{00000000-0008-0000-0200-000060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31</xdr:row>
          <xdr:rowOff>30480</xdr:rowOff>
        </xdr:from>
        <xdr:to>
          <xdr:col>3</xdr:col>
          <xdr:colOff>998220</xdr:colOff>
          <xdr:row>32</xdr:row>
          <xdr:rowOff>0</xdr:rowOff>
        </xdr:to>
        <xdr:sp macro="" textlink="">
          <xdr:nvSpPr>
            <xdr:cNvPr id="39777" name="Option Button 865" hidden="1">
              <a:extLst>
                <a:ext uri="{63B3BB69-23CF-44E3-9099-C40C66FF867C}">
                  <a14:compatExt spid="_x0000_s39777"/>
                </a:ext>
                <a:ext uri="{FF2B5EF4-FFF2-40B4-BE49-F238E27FC236}">
                  <a16:creationId xmlns:a16="http://schemas.microsoft.com/office/drawing/2014/main" id="{00000000-0008-0000-0200-0000619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876300</xdr:colOff>
          <xdr:row>4</xdr:row>
          <xdr:rowOff>190500</xdr:rowOff>
        </xdr:from>
        <xdr:to>
          <xdr:col>15</xdr:col>
          <xdr:colOff>2621280</xdr:colOff>
          <xdr:row>6</xdr:row>
          <xdr:rowOff>68580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Final Rankings</a:t>
              </a:r>
            </a:p>
          </xdr:txBody>
        </xdr:sp>
        <xdr:clientData fPrintsWithSheet="0"/>
      </xdr:twoCellAnchor>
    </mc:Choice>
    <mc:Fallback/>
  </mc:AlternateContent>
  <xdr:twoCellAnchor editAs="oneCell">
    <xdr:from>
      <xdr:col>15</xdr:col>
      <xdr:colOff>1062182</xdr:colOff>
      <xdr:row>9</xdr:row>
      <xdr:rowOff>11545</xdr:rowOff>
    </xdr:from>
    <xdr:to>
      <xdr:col>15</xdr:col>
      <xdr:colOff>2302017</xdr:colOff>
      <xdr:row>10</xdr:row>
      <xdr:rowOff>244906</xdr:rowOff>
    </xdr:to>
    <xdr:pic macro="[0]!clrscores">
      <xdr:nvPicPr>
        <xdr:cNvPr id="4" name="CommandButton1">
          <a:extLst>
            <a:ext uri="{FF2B5EF4-FFF2-40B4-BE49-F238E27FC236}">
              <a16:creationId xmlns:a16="http://schemas.microsoft.com/office/drawing/2014/main" id="{00000000-0008-0000-02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90364" y="2297545"/>
          <a:ext cx="1239835" cy="4873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Y73"/>
  <sheetViews>
    <sheetView showGridLines="0" workbookViewId="0">
      <selection activeCell="B1" sqref="B1"/>
      <extLst>
        <ext xmlns:xlsdti="http://schemas.microsoft.com/office/spreadsheetml/2023/showDataTypeIcons" uri="{77bfe23e-c014-4d31-8a63-9c772dbf06b6}">
          <xlsdti:showDataTypeIcons visible="0"/>
        </ext>
      </extLst>
    </sheetView>
  </sheetViews>
  <sheetFormatPr defaultColWidth="9" defaultRowHeight="13.2" x14ac:dyDescent="0.25"/>
  <cols>
    <col min="1" max="1" width="1.33203125" style="79" customWidth="1"/>
    <col min="2" max="2" width="112.6640625" style="45" customWidth="1"/>
    <col min="3" max="8" width="7" style="79" customWidth="1"/>
    <col min="9" max="9" width="86" style="79" customWidth="1"/>
    <col min="10" max="14" width="7" style="44" customWidth="1"/>
    <col min="15" max="17" width="6.6640625" style="44" customWidth="1"/>
    <col min="18" max="19" width="6.33203125" style="93" customWidth="1"/>
    <col min="20" max="21" width="9" style="93"/>
    <col min="22" max="16384" width="9" style="44"/>
  </cols>
  <sheetData>
    <row r="1" spans="1:25" ht="28.8" thickTop="1" x14ac:dyDescent="0.25">
      <c r="B1" s="154" t="s">
        <v>169</v>
      </c>
    </row>
    <row r="2" spans="1:25" ht="21.6" thickBot="1" x14ac:dyDescent="0.3">
      <c r="B2" s="106" t="s">
        <v>161</v>
      </c>
    </row>
    <row r="3" spans="1:25" ht="5.25" customHeight="1" thickTop="1" thickBot="1" x14ac:dyDescent="0.3">
      <c r="B3" s="46"/>
    </row>
    <row r="4" spans="1:25" s="108" customFormat="1" ht="16.2" thickTop="1" x14ac:dyDescent="0.25">
      <c r="A4" s="110"/>
      <c r="B4" s="136" t="s">
        <v>162</v>
      </c>
      <c r="C4" s="110"/>
      <c r="D4" s="110"/>
      <c r="E4" s="110"/>
      <c r="F4" s="110"/>
      <c r="G4" s="110"/>
      <c r="H4" s="110"/>
      <c r="I4" s="110"/>
    </row>
    <row r="5" spans="1:25" s="108" customFormat="1" ht="15" x14ac:dyDescent="0.25">
      <c r="A5" s="110"/>
      <c r="B5" s="115" t="s">
        <v>153</v>
      </c>
      <c r="C5" s="110"/>
      <c r="D5" s="110"/>
      <c r="E5" s="110"/>
      <c r="F5" s="110"/>
      <c r="G5" s="110"/>
      <c r="H5" s="110"/>
      <c r="I5" s="110"/>
    </row>
    <row r="6" spans="1:25" s="108" customFormat="1" ht="15.75" customHeight="1" x14ac:dyDescent="0.25">
      <c r="A6" s="110"/>
      <c r="B6" s="115" t="s">
        <v>154</v>
      </c>
      <c r="C6" s="110"/>
      <c r="D6" s="110"/>
      <c r="E6" s="110"/>
      <c r="F6" s="110"/>
      <c r="G6" s="110"/>
      <c r="H6" s="110"/>
      <c r="I6" s="110"/>
    </row>
    <row r="7" spans="1:25" s="108" customFormat="1" ht="30" x14ac:dyDescent="0.25">
      <c r="A7" s="110"/>
      <c r="B7" s="115" t="s">
        <v>156</v>
      </c>
      <c r="C7" s="110"/>
      <c r="D7" s="110"/>
      <c r="E7" s="110"/>
      <c r="F7" s="110"/>
      <c r="G7" s="110"/>
      <c r="H7" s="110"/>
      <c r="I7" s="110"/>
    </row>
    <row r="8" spans="1:25" s="108" customFormat="1" ht="16.2" customHeight="1" thickBot="1" x14ac:dyDescent="0.3">
      <c r="A8" s="110"/>
      <c r="B8" s="116" t="s">
        <v>155</v>
      </c>
      <c r="C8" s="110"/>
      <c r="D8" s="110"/>
      <c r="E8" s="110"/>
      <c r="F8" s="110"/>
      <c r="G8" s="110"/>
      <c r="H8" s="110"/>
      <c r="I8" s="110"/>
    </row>
    <row r="9" spans="1:25" s="108" customFormat="1" ht="8.25" customHeight="1" thickTop="1" thickBot="1" x14ac:dyDescent="0.3">
      <c r="A9" s="110"/>
      <c r="B9" s="117"/>
      <c r="C9" s="110"/>
      <c r="D9" s="110"/>
      <c r="E9" s="110"/>
      <c r="F9" s="110"/>
      <c r="G9" s="110"/>
      <c r="H9" s="110"/>
      <c r="I9" s="110"/>
    </row>
    <row r="10" spans="1:25" s="109" customFormat="1" ht="31.2" thickTop="1" x14ac:dyDescent="0.25">
      <c r="A10" s="111"/>
      <c r="B10" s="118" t="s">
        <v>157</v>
      </c>
      <c r="C10" s="110"/>
      <c r="D10" s="110"/>
      <c r="E10" s="110"/>
      <c r="F10" s="110"/>
      <c r="G10" s="110"/>
      <c r="H10" s="110"/>
      <c r="I10" s="110"/>
      <c r="J10" s="108"/>
      <c r="K10" s="108"/>
      <c r="L10" s="108"/>
      <c r="M10" s="108"/>
      <c r="N10" s="108"/>
      <c r="O10" s="108"/>
      <c r="P10" s="108"/>
      <c r="Q10" s="108"/>
      <c r="R10" s="108"/>
      <c r="S10" s="108"/>
      <c r="T10" s="108"/>
      <c r="U10" s="108"/>
      <c r="V10" s="108"/>
      <c r="W10" s="108"/>
      <c r="X10" s="108"/>
      <c r="Y10" s="108"/>
    </row>
    <row r="11" spans="1:25" s="109" customFormat="1" ht="46.2" thickBot="1" x14ac:dyDescent="0.3">
      <c r="A11" s="111"/>
      <c r="B11" s="116" t="s">
        <v>163</v>
      </c>
      <c r="C11" s="110"/>
      <c r="D11" s="110"/>
      <c r="E11" s="110"/>
      <c r="F11" s="110"/>
      <c r="G11" s="110"/>
      <c r="H11" s="110"/>
      <c r="I11" s="110"/>
      <c r="J11" s="108"/>
      <c r="K11" s="108"/>
      <c r="L11" s="108"/>
      <c r="M11" s="108"/>
      <c r="N11" s="108"/>
      <c r="O11" s="108"/>
      <c r="P11" s="108"/>
      <c r="Q11" s="108"/>
      <c r="R11" s="108"/>
      <c r="S11" s="108"/>
      <c r="T11" s="108"/>
    </row>
    <row r="12" spans="1:25" s="109" customFormat="1" ht="8.25" customHeight="1" thickTop="1" thickBot="1" x14ac:dyDescent="0.3">
      <c r="A12" s="111"/>
      <c r="B12" s="119"/>
      <c r="C12" s="110"/>
      <c r="D12" s="110"/>
      <c r="E12" s="110"/>
      <c r="F12" s="110"/>
      <c r="G12" s="110"/>
      <c r="H12" s="110"/>
      <c r="I12" s="110"/>
      <c r="J12" s="108"/>
      <c r="K12" s="108"/>
      <c r="L12" s="108"/>
      <c r="M12" s="108"/>
      <c r="N12" s="108"/>
      <c r="O12" s="108"/>
      <c r="P12" s="108"/>
      <c r="Q12" s="108"/>
      <c r="R12" s="108"/>
      <c r="S12" s="108"/>
      <c r="T12" s="108"/>
    </row>
    <row r="13" spans="1:25" s="109" customFormat="1" ht="16.2" thickTop="1" x14ac:dyDescent="0.25">
      <c r="A13" s="111"/>
      <c r="B13" s="118" t="s">
        <v>158</v>
      </c>
      <c r="C13" s="110"/>
      <c r="D13" s="110"/>
      <c r="E13" s="110"/>
      <c r="F13" s="110"/>
      <c r="G13" s="110"/>
      <c r="H13" s="110"/>
      <c r="I13" s="110"/>
      <c r="J13" s="108"/>
      <c r="K13" s="108"/>
      <c r="L13" s="108"/>
      <c r="M13" s="108"/>
      <c r="N13" s="108"/>
      <c r="O13" s="108"/>
      <c r="P13" s="108"/>
      <c r="Q13" s="108"/>
      <c r="R13" s="108"/>
      <c r="S13" s="108"/>
      <c r="T13" s="108"/>
    </row>
    <row r="14" spans="1:25" s="109" customFormat="1" ht="30.6" x14ac:dyDescent="0.25">
      <c r="A14" s="111"/>
      <c r="B14" s="115" t="s">
        <v>167</v>
      </c>
      <c r="C14" s="110"/>
      <c r="D14" s="110"/>
      <c r="E14" s="110"/>
      <c r="F14" s="110"/>
      <c r="G14" s="110"/>
      <c r="H14" s="110"/>
      <c r="I14" s="110"/>
      <c r="J14" s="108"/>
      <c r="K14" s="108"/>
      <c r="L14" s="108"/>
      <c r="M14" s="108"/>
      <c r="N14" s="108"/>
      <c r="O14" s="108"/>
      <c r="P14" s="108"/>
      <c r="Q14" s="108"/>
      <c r="R14" s="108"/>
      <c r="S14" s="108"/>
      <c r="T14" s="108"/>
    </row>
    <row r="15" spans="1:25" s="109" customFormat="1" ht="18.75" customHeight="1" x14ac:dyDescent="0.25">
      <c r="A15" s="111"/>
      <c r="B15" s="115" t="s">
        <v>168</v>
      </c>
      <c r="C15" s="110"/>
      <c r="D15" s="110"/>
      <c r="E15" s="110"/>
      <c r="F15" s="110"/>
      <c r="G15" s="110"/>
      <c r="H15" s="110"/>
      <c r="I15" s="110"/>
      <c r="J15" s="108"/>
      <c r="K15" s="108"/>
      <c r="L15" s="108"/>
      <c r="M15" s="108"/>
      <c r="N15" s="108"/>
      <c r="O15" s="108"/>
      <c r="P15" s="108"/>
      <c r="Q15" s="108"/>
      <c r="R15" s="108"/>
      <c r="S15" s="108"/>
      <c r="T15" s="108"/>
    </row>
    <row r="16" spans="1:25" s="109" customFormat="1" ht="15" x14ac:dyDescent="0.25">
      <c r="A16" s="111"/>
      <c r="B16" s="115" t="s">
        <v>159</v>
      </c>
      <c r="C16" s="110"/>
      <c r="D16" s="110"/>
      <c r="E16" s="110"/>
      <c r="F16" s="110"/>
      <c r="G16" s="110"/>
      <c r="H16" s="110"/>
      <c r="I16" s="110"/>
      <c r="J16" s="108"/>
      <c r="K16" s="108"/>
      <c r="L16" s="108"/>
      <c r="M16" s="108"/>
      <c r="N16" s="108"/>
      <c r="O16" s="108"/>
      <c r="P16" s="108"/>
      <c r="Q16" s="108"/>
      <c r="R16" s="108"/>
      <c r="S16" s="108"/>
      <c r="T16" s="108"/>
    </row>
    <row r="17" spans="1:25" s="109" customFormat="1" ht="15" x14ac:dyDescent="0.25">
      <c r="A17" s="111"/>
      <c r="B17" s="115" t="s">
        <v>125</v>
      </c>
      <c r="C17" s="110"/>
      <c r="D17" s="110"/>
      <c r="E17" s="110"/>
      <c r="F17" s="110"/>
      <c r="G17" s="110"/>
      <c r="H17" s="110"/>
      <c r="I17" s="110"/>
      <c r="J17" s="108"/>
      <c r="K17" s="108"/>
      <c r="L17" s="108"/>
      <c r="M17" s="108"/>
      <c r="N17" s="108"/>
      <c r="O17" s="108"/>
      <c r="P17" s="108"/>
      <c r="Q17" s="108"/>
      <c r="R17" s="108"/>
      <c r="S17" s="108"/>
      <c r="T17" s="108"/>
    </row>
    <row r="18" spans="1:25" s="109" customFormat="1" ht="16.2" thickBot="1" x14ac:dyDescent="0.3">
      <c r="A18" s="111"/>
      <c r="B18" s="116" t="s">
        <v>160</v>
      </c>
      <c r="C18" s="110"/>
      <c r="D18" s="110"/>
      <c r="E18" s="110"/>
      <c r="F18" s="110"/>
      <c r="G18" s="110"/>
      <c r="H18" s="110"/>
      <c r="I18" s="110"/>
      <c r="J18" s="108"/>
      <c r="K18" s="108"/>
      <c r="L18" s="108"/>
      <c r="M18" s="108"/>
      <c r="N18" s="108"/>
      <c r="O18" s="108"/>
      <c r="P18" s="108"/>
      <c r="Q18" s="108"/>
      <c r="R18" s="108"/>
      <c r="S18" s="108"/>
      <c r="T18" s="108"/>
    </row>
    <row r="19" spans="1:25" s="109" customFormat="1" ht="8.25" customHeight="1" thickTop="1" thickBot="1" x14ac:dyDescent="0.3">
      <c r="A19" s="111"/>
      <c r="B19" s="119"/>
      <c r="C19" s="110"/>
      <c r="D19" s="110"/>
      <c r="E19" s="110"/>
      <c r="F19" s="110"/>
      <c r="G19" s="110"/>
      <c r="H19" s="110"/>
      <c r="I19" s="110"/>
      <c r="J19" s="108"/>
      <c r="K19" s="108"/>
      <c r="L19" s="108"/>
      <c r="M19" s="108"/>
      <c r="N19" s="108"/>
      <c r="O19" s="108"/>
      <c r="P19" s="108"/>
      <c r="Q19" s="108"/>
      <c r="R19" s="108"/>
      <c r="S19" s="108"/>
      <c r="T19" s="108"/>
    </row>
    <row r="20" spans="1:25" s="109" customFormat="1" ht="31.2" thickTop="1" x14ac:dyDescent="0.25">
      <c r="A20" s="111"/>
      <c r="B20" s="118" t="s">
        <v>127</v>
      </c>
      <c r="C20" s="110"/>
      <c r="D20" s="110"/>
      <c r="E20" s="110"/>
      <c r="F20" s="110"/>
      <c r="G20" s="110"/>
      <c r="H20" s="110"/>
      <c r="I20" s="110"/>
      <c r="J20" s="108"/>
      <c r="K20" s="108"/>
      <c r="L20" s="108"/>
      <c r="M20" s="108"/>
      <c r="N20" s="108"/>
      <c r="O20" s="108"/>
      <c r="P20" s="108"/>
      <c r="Q20" s="108"/>
      <c r="R20" s="108"/>
      <c r="S20" s="108"/>
      <c r="T20" s="108"/>
      <c r="U20" s="108"/>
      <c r="V20" s="108"/>
      <c r="W20" s="108"/>
      <c r="X20" s="108"/>
      <c r="Y20" s="108"/>
    </row>
    <row r="21" spans="1:25" s="109" customFormat="1" ht="32.25" customHeight="1" x14ac:dyDescent="0.25">
      <c r="A21" s="111"/>
      <c r="B21" s="115" t="s">
        <v>164</v>
      </c>
      <c r="C21" s="110"/>
      <c r="D21" s="110"/>
      <c r="E21" s="110"/>
      <c r="F21" s="110"/>
      <c r="G21" s="110"/>
      <c r="H21" s="110"/>
      <c r="I21" s="110"/>
      <c r="J21" s="108"/>
      <c r="K21" s="108"/>
      <c r="L21" s="108"/>
      <c r="M21" s="108"/>
      <c r="N21" s="108"/>
      <c r="O21" s="108"/>
      <c r="P21" s="108"/>
      <c r="Q21" s="108"/>
      <c r="R21" s="108"/>
      <c r="S21" s="108"/>
      <c r="T21" s="108"/>
    </row>
    <row r="22" spans="1:25" s="109" customFormat="1" ht="30" x14ac:dyDescent="0.25">
      <c r="A22" s="111"/>
      <c r="B22" s="115" t="s">
        <v>126</v>
      </c>
      <c r="C22" s="112"/>
      <c r="D22" s="110"/>
      <c r="E22" s="110"/>
      <c r="F22" s="110"/>
      <c r="G22" s="110"/>
      <c r="H22" s="110"/>
      <c r="I22" s="110"/>
      <c r="J22" s="108"/>
      <c r="K22" s="108"/>
      <c r="L22" s="108"/>
      <c r="M22" s="108"/>
      <c r="N22" s="108"/>
      <c r="O22" s="108"/>
      <c r="P22" s="108"/>
      <c r="Q22" s="108"/>
      <c r="R22" s="108"/>
      <c r="S22" s="108"/>
      <c r="T22" s="108"/>
      <c r="U22" s="108"/>
      <c r="V22" s="108"/>
      <c r="W22" s="108"/>
      <c r="X22" s="108"/>
      <c r="Y22" s="108"/>
    </row>
    <row r="23" spans="1:25" s="109" customFormat="1" ht="46.2" x14ac:dyDescent="0.25">
      <c r="A23" s="111"/>
      <c r="B23" s="115" t="s">
        <v>165</v>
      </c>
      <c r="C23" s="110"/>
      <c r="D23" s="110"/>
      <c r="E23" s="110"/>
      <c r="F23" s="110"/>
      <c r="G23" s="110"/>
      <c r="H23" s="110"/>
      <c r="I23" s="110"/>
      <c r="J23" s="108"/>
      <c r="K23" s="108"/>
      <c r="L23" s="108"/>
      <c r="M23" s="108"/>
      <c r="N23" s="108"/>
      <c r="O23" s="108"/>
      <c r="P23" s="108"/>
      <c r="Q23" s="108"/>
      <c r="R23" s="108"/>
      <c r="S23" s="108"/>
      <c r="T23" s="108"/>
    </row>
    <row r="24" spans="1:25" s="109" customFormat="1" ht="5.25" customHeight="1" x14ac:dyDescent="0.25">
      <c r="A24" s="111"/>
      <c r="B24" s="113"/>
      <c r="C24" s="110"/>
      <c r="D24" s="110"/>
      <c r="E24" s="110"/>
      <c r="F24" s="110"/>
      <c r="G24" s="110"/>
      <c r="H24" s="110"/>
      <c r="I24" s="110"/>
      <c r="J24" s="108"/>
      <c r="K24" s="108"/>
      <c r="L24" s="108"/>
      <c r="M24" s="108"/>
      <c r="N24" s="108"/>
      <c r="O24" s="108"/>
      <c r="P24" s="108"/>
      <c r="Q24" s="108"/>
      <c r="R24" s="108"/>
      <c r="S24" s="108"/>
      <c r="T24" s="108"/>
    </row>
    <row r="25" spans="1:25" s="108" customFormat="1" ht="29.25" customHeight="1" x14ac:dyDescent="0.25">
      <c r="A25" s="110"/>
      <c r="B25" s="110"/>
      <c r="C25" s="110"/>
      <c r="D25" s="110"/>
      <c r="E25" s="110"/>
      <c r="F25" s="110"/>
      <c r="G25" s="110"/>
      <c r="H25" s="110"/>
      <c r="I25" s="110"/>
    </row>
    <row r="26" spans="1:25" s="108" customFormat="1" ht="43.5" customHeight="1" x14ac:dyDescent="0.25">
      <c r="A26" s="110"/>
      <c r="B26" s="110"/>
      <c r="C26" s="110"/>
      <c r="D26" s="110"/>
      <c r="E26" s="110"/>
      <c r="F26" s="110"/>
      <c r="G26" s="110"/>
      <c r="H26" s="110"/>
      <c r="I26" s="110"/>
    </row>
    <row r="27" spans="1:25" s="108" customFormat="1" x14ac:dyDescent="0.25">
      <c r="A27" s="110"/>
      <c r="B27" s="110"/>
      <c r="C27" s="110"/>
      <c r="D27" s="110"/>
      <c r="E27" s="110"/>
      <c r="F27" s="110"/>
      <c r="G27" s="110"/>
      <c r="H27" s="110"/>
      <c r="I27" s="110"/>
    </row>
    <row r="28" spans="1:25" s="108" customFormat="1" ht="29.25" customHeight="1" x14ac:dyDescent="0.25">
      <c r="A28" s="110"/>
      <c r="B28" s="110"/>
      <c r="C28" s="110"/>
      <c r="D28" s="110"/>
      <c r="E28" s="110"/>
      <c r="F28" s="110"/>
      <c r="G28" s="110"/>
      <c r="H28" s="110"/>
      <c r="I28" s="110"/>
    </row>
    <row r="29" spans="1:25" ht="21" x14ac:dyDescent="0.4">
      <c r="B29" s="114"/>
    </row>
    <row r="30" spans="1:25" ht="20.399999999999999" x14ac:dyDescent="0.35">
      <c r="B30" s="54"/>
    </row>
    <row r="31" spans="1:25" ht="7.5" customHeight="1" x14ac:dyDescent="0.35">
      <c r="B31" s="54"/>
    </row>
    <row r="32" spans="1:25" ht="20.399999999999999" x14ac:dyDescent="0.35">
      <c r="B32" s="54"/>
    </row>
    <row r="33" spans="2:2" ht="12.75" customHeight="1" x14ac:dyDescent="0.35">
      <c r="B33" s="54"/>
    </row>
    <row r="34" spans="2:2" ht="7.5" customHeight="1" x14ac:dyDescent="0.35">
      <c r="B34" s="54"/>
    </row>
    <row r="35" spans="2:2" x14ac:dyDescent="0.25">
      <c r="B35" s="79"/>
    </row>
    <row r="36" spans="2:2" x14ac:dyDescent="0.25">
      <c r="B36" s="79"/>
    </row>
    <row r="37" spans="2:2" x14ac:dyDescent="0.25">
      <c r="B37" s="79"/>
    </row>
    <row r="38" spans="2:2" x14ac:dyDescent="0.25">
      <c r="B38" s="79"/>
    </row>
    <row r="39" spans="2:2" x14ac:dyDescent="0.25">
      <c r="B39" s="79"/>
    </row>
    <row r="40" spans="2:2" x14ac:dyDescent="0.25">
      <c r="B40" s="79"/>
    </row>
    <row r="41" spans="2:2" x14ac:dyDescent="0.25">
      <c r="B41" s="80"/>
    </row>
    <row r="42" spans="2:2" x14ac:dyDescent="0.25">
      <c r="B42" s="80"/>
    </row>
    <row r="43" spans="2:2" x14ac:dyDescent="0.25">
      <c r="B43" s="80"/>
    </row>
    <row r="44" spans="2:2" x14ac:dyDescent="0.25">
      <c r="B44" s="80"/>
    </row>
    <row r="45" spans="2:2" x14ac:dyDescent="0.25">
      <c r="B45" s="80"/>
    </row>
    <row r="46" spans="2:2" x14ac:dyDescent="0.25">
      <c r="B46" s="80"/>
    </row>
    <row r="47" spans="2:2" x14ac:dyDescent="0.25">
      <c r="B47" s="80"/>
    </row>
    <row r="48" spans="2:2" x14ac:dyDescent="0.25">
      <c r="B48" s="80"/>
    </row>
    <row r="49" spans="2:2" x14ac:dyDescent="0.25">
      <c r="B49" s="80"/>
    </row>
    <row r="50" spans="2:2" x14ac:dyDescent="0.25">
      <c r="B50" s="80"/>
    </row>
    <row r="51" spans="2:2" x14ac:dyDescent="0.25">
      <c r="B51" s="80"/>
    </row>
    <row r="52" spans="2:2" x14ac:dyDescent="0.25">
      <c r="B52" s="80"/>
    </row>
    <row r="53" spans="2:2" x14ac:dyDescent="0.25">
      <c r="B53" s="80"/>
    </row>
    <row r="54" spans="2:2" x14ac:dyDescent="0.25">
      <c r="B54" s="80"/>
    </row>
    <row r="55" spans="2:2" x14ac:dyDescent="0.25">
      <c r="B55" s="80"/>
    </row>
    <row r="56" spans="2:2" x14ac:dyDescent="0.25">
      <c r="B56" s="80"/>
    </row>
    <row r="57" spans="2:2" x14ac:dyDescent="0.25">
      <c r="B57" s="80"/>
    </row>
    <row r="58" spans="2:2" x14ac:dyDescent="0.25">
      <c r="B58" s="80"/>
    </row>
    <row r="59" spans="2:2" x14ac:dyDescent="0.25">
      <c r="B59" s="80"/>
    </row>
    <row r="60" spans="2:2" x14ac:dyDescent="0.25">
      <c r="B60" s="80"/>
    </row>
    <row r="61" spans="2:2" x14ac:dyDescent="0.25">
      <c r="B61" s="80"/>
    </row>
    <row r="62" spans="2:2" x14ac:dyDescent="0.25">
      <c r="B62" s="80"/>
    </row>
    <row r="63" spans="2:2" x14ac:dyDescent="0.25">
      <c r="B63" s="80"/>
    </row>
    <row r="64" spans="2:2" x14ac:dyDescent="0.25">
      <c r="B64" s="80"/>
    </row>
    <row r="65" spans="2:2" x14ac:dyDescent="0.25">
      <c r="B65" s="80"/>
    </row>
    <row r="66" spans="2:2" x14ac:dyDescent="0.25">
      <c r="B66" s="80"/>
    </row>
    <row r="67" spans="2:2" x14ac:dyDescent="0.25">
      <c r="B67" s="80"/>
    </row>
    <row r="68" spans="2:2" x14ac:dyDescent="0.25">
      <c r="B68" s="80"/>
    </row>
    <row r="69" spans="2:2" x14ac:dyDescent="0.25">
      <c r="B69" s="80"/>
    </row>
    <row r="70" spans="2:2" x14ac:dyDescent="0.25">
      <c r="B70" s="80"/>
    </row>
    <row r="71" spans="2:2" x14ac:dyDescent="0.25">
      <c r="B71" s="80"/>
    </row>
    <row r="72" spans="2:2" x14ac:dyDescent="0.25">
      <c r="B72" s="80"/>
    </row>
    <row r="73" spans="2:2" x14ac:dyDescent="0.25">
      <c r="B73" s="80"/>
    </row>
  </sheetData>
  <phoneticPr fontId="0" type="noConversion"/>
  <pageMargins left="0.75" right="0.75" top="1" bottom="1" header="0.5" footer="0.5"/>
  <pageSetup scale="90" orientation="landscape"/>
  <headerFooter>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E136"/>
  <sheetViews>
    <sheetView showGridLines="0" workbookViewId="0">
      <selection activeCell="A3" sqref="A3"/>
      <extLst>
        <ext xmlns:xlsdti="http://schemas.microsoft.com/office/spreadsheetml/2023/showDataTypeIcons" uri="{77bfe23e-c014-4d31-8a63-9c772dbf06b6}">
          <xlsdti:showDataTypeIcons visible="0"/>
        </ext>
      </extLst>
    </sheetView>
  </sheetViews>
  <sheetFormatPr defaultColWidth="8.6640625" defaultRowHeight="13.2" x14ac:dyDescent="0.25"/>
  <cols>
    <col min="1" max="1" width="3.33203125" style="63" customWidth="1"/>
    <col min="3" max="3" width="87.33203125" customWidth="1"/>
    <col min="4" max="5" width="9" style="63" customWidth="1"/>
    <col min="6" max="22" width="9" customWidth="1"/>
  </cols>
  <sheetData>
    <row r="1" spans="1:5" ht="3" customHeight="1" x14ac:dyDescent="0.25">
      <c r="B1" s="63"/>
      <c r="C1" s="63"/>
    </row>
    <row r="2" spans="1:5" ht="3" customHeight="1" x14ac:dyDescent="0.25">
      <c r="B2" s="63"/>
      <c r="C2" s="63"/>
    </row>
    <row r="3" spans="1:5" ht="3" customHeight="1" x14ac:dyDescent="0.25">
      <c r="B3" s="63"/>
      <c r="C3" s="63"/>
    </row>
    <row r="4" spans="1:5" ht="3" customHeight="1" x14ac:dyDescent="0.25">
      <c r="B4" s="63"/>
      <c r="C4" s="63"/>
    </row>
    <row r="5" spans="1:5" ht="3" customHeight="1" x14ac:dyDescent="0.25">
      <c r="B5" s="63"/>
      <c r="C5" s="63"/>
    </row>
    <row r="6" spans="1:5" ht="23.4" thickBot="1" x14ac:dyDescent="0.45">
      <c r="B6" s="81" t="s">
        <v>27</v>
      </c>
      <c r="C6" s="82"/>
    </row>
    <row r="7" spans="1:5" ht="13.8" thickBot="1" x14ac:dyDescent="0.3">
      <c r="B7" s="83" t="s">
        <v>1</v>
      </c>
      <c r="C7" s="84" t="s">
        <v>2</v>
      </c>
    </row>
    <row r="8" spans="1:5" x14ac:dyDescent="0.25">
      <c r="B8" s="181">
        <v>1</v>
      </c>
      <c r="C8" s="182" t="s">
        <v>149</v>
      </c>
      <c r="D8" s="63">
        <f>IF(B8="","",E8)</f>
        <v>1</v>
      </c>
      <c r="E8" s="63">
        <v>1</v>
      </c>
    </row>
    <row r="9" spans="1:5" x14ac:dyDescent="0.25">
      <c r="B9" s="183">
        <v>2</v>
      </c>
      <c r="C9" s="184" t="s">
        <v>150</v>
      </c>
      <c r="D9" s="63">
        <f t="shared" ref="D9:D72" si="0">IF(B9="","",E9)</f>
        <v>2</v>
      </c>
      <c r="E9" s="63">
        <v>2</v>
      </c>
    </row>
    <row r="10" spans="1:5" x14ac:dyDescent="0.25">
      <c r="B10" s="183">
        <v>3</v>
      </c>
      <c r="C10" s="184" t="s">
        <v>152</v>
      </c>
      <c r="D10" s="63">
        <f t="shared" si="0"/>
        <v>3</v>
      </c>
      <c r="E10" s="63">
        <v>3</v>
      </c>
    </row>
    <row r="11" spans="1:5" x14ac:dyDescent="0.25">
      <c r="B11" s="183">
        <v>4</v>
      </c>
      <c r="C11" s="184" t="s">
        <v>151</v>
      </c>
      <c r="D11" s="63">
        <f t="shared" si="0"/>
        <v>4</v>
      </c>
      <c r="E11" s="63">
        <v>4</v>
      </c>
    </row>
    <row r="12" spans="1:5" x14ac:dyDescent="0.25">
      <c r="B12" s="183"/>
      <c r="C12" s="184"/>
      <c r="D12" s="63" t="str">
        <f>IF(B12="","",E12)</f>
        <v/>
      </c>
      <c r="E12" s="63">
        <v>5</v>
      </c>
    </row>
    <row r="13" spans="1:5" x14ac:dyDescent="0.25">
      <c r="A13" s="63" t="str">
        <f>IF(AND(B12&lt;&gt;"",B13=""),"                      Need Substitute Teams","")</f>
        <v/>
      </c>
      <c r="B13" s="183"/>
      <c r="C13" s="184"/>
      <c r="D13" s="63" t="str">
        <f>IF(B13="","",E13)</f>
        <v/>
      </c>
      <c r="E13" s="63">
        <v>6</v>
      </c>
    </row>
    <row r="14" spans="1:5" x14ac:dyDescent="0.25">
      <c r="A14" s="63" t="str">
        <f>IF(AND(B13&lt;&gt;"",B14=""),"                      Need Substitute Teams","")</f>
        <v/>
      </c>
      <c r="B14" s="183"/>
      <c r="C14" s="184"/>
      <c r="D14" s="63" t="str">
        <f t="shared" si="0"/>
        <v/>
      </c>
      <c r="E14" s="63">
        <v>7</v>
      </c>
    </row>
    <row r="15" spans="1:5" x14ac:dyDescent="0.25">
      <c r="A15" s="63" t="str">
        <f>IF(AND(B14&lt;&gt;"",B15=""),"                      Need Substitute Teams","")</f>
        <v/>
      </c>
      <c r="B15" s="183"/>
      <c r="C15" s="184"/>
      <c r="D15" s="63" t="str">
        <f t="shared" si="0"/>
        <v/>
      </c>
      <c r="E15" s="63">
        <v>8</v>
      </c>
    </row>
    <row r="16" spans="1:5" x14ac:dyDescent="0.25">
      <c r="B16" s="183"/>
      <c r="C16" s="184"/>
      <c r="D16" s="63" t="str">
        <f t="shared" si="0"/>
        <v/>
      </c>
      <c r="E16" s="63">
        <v>9</v>
      </c>
    </row>
    <row r="17" spans="1:5" x14ac:dyDescent="0.25">
      <c r="A17" s="63" t="str">
        <f>IF(AND(B16&lt;&gt;"",B17=""),"                      Need Substitute Teams","")</f>
        <v/>
      </c>
      <c r="B17" s="183"/>
      <c r="C17" s="184"/>
      <c r="D17" s="63" t="str">
        <f t="shared" si="0"/>
        <v/>
      </c>
      <c r="E17" s="63">
        <v>10</v>
      </c>
    </row>
    <row r="18" spans="1:5" x14ac:dyDescent="0.25">
      <c r="A18" s="63" t="str">
        <f>IF(AND(B17&lt;&gt;"",B18=""),"                      Need Substitute Teams","")</f>
        <v/>
      </c>
      <c r="B18" s="183"/>
      <c r="C18" s="184"/>
      <c r="D18" s="63" t="str">
        <f t="shared" si="0"/>
        <v/>
      </c>
      <c r="E18" s="63">
        <v>11</v>
      </c>
    </row>
    <row r="19" spans="1:5" x14ac:dyDescent="0.25">
      <c r="A19" s="63" t="str">
        <f>IF(AND(B18&lt;&gt;"",B19=""),"                      Need Substitute Teams","")</f>
        <v/>
      </c>
      <c r="B19" s="183"/>
      <c r="C19" s="184"/>
      <c r="D19" s="63" t="str">
        <f t="shared" si="0"/>
        <v/>
      </c>
      <c r="E19" s="63">
        <v>12</v>
      </c>
    </row>
    <row r="20" spans="1:5" x14ac:dyDescent="0.25">
      <c r="B20" s="183"/>
      <c r="C20" s="185"/>
      <c r="D20" s="63" t="str">
        <f t="shared" si="0"/>
        <v/>
      </c>
      <c r="E20" s="63">
        <v>13</v>
      </c>
    </row>
    <row r="21" spans="1:5" x14ac:dyDescent="0.25">
      <c r="A21" s="63" t="str">
        <f>IF(AND(B20&lt;&gt;"",B21=""),"                      Need Substitute Teams","")</f>
        <v/>
      </c>
      <c r="B21" s="183"/>
      <c r="C21" s="185"/>
      <c r="D21" s="63" t="str">
        <f t="shared" si="0"/>
        <v/>
      </c>
      <c r="E21" s="63">
        <v>14</v>
      </c>
    </row>
    <row r="22" spans="1:5" x14ac:dyDescent="0.25">
      <c r="A22" s="63" t="str">
        <f>IF(AND(B21&lt;&gt;"",B22=""),"                      Need Substitute Teams","")</f>
        <v/>
      </c>
      <c r="B22" s="183"/>
      <c r="C22" s="185"/>
      <c r="D22" s="63" t="str">
        <f t="shared" si="0"/>
        <v/>
      </c>
      <c r="E22" s="63">
        <v>15</v>
      </c>
    </row>
    <row r="23" spans="1:5" x14ac:dyDescent="0.25">
      <c r="A23" s="63" t="str">
        <f>IF(AND(B22&lt;&gt;"",B23=""),"                      Need Substitute Teams","")</f>
        <v/>
      </c>
      <c r="B23" s="183"/>
      <c r="C23" s="185"/>
      <c r="D23" s="63" t="str">
        <f t="shared" si="0"/>
        <v/>
      </c>
      <c r="E23" s="63">
        <v>16</v>
      </c>
    </row>
    <row r="24" spans="1:5" x14ac:dyDescent="0.25">
      <c r="B24" s="183"/>
      <c r="C24" s="185"/>
      <c r="D24" s="63" t="str">
        <f t="shared" si="0"/>
        <v/>
      </c>
      <c r="E24" s="63">
        <v>17</v>
      </c>
    </row>
    <row r="25" spans="1:5" x14ac:dyDescent="0.25">
      <c r="A25" s="63" t="str">
        <f>IF(AND(B24&lt;&gt;"",B25=""),"                      Need Substitute Teams","")</f>
        <v/>
      </c>
      <c r="B25" s="183"/>
      <c r="C25" s="185"/>
      <c r="D25" s="63" t="str">
        <f t="shared" si="0"/>
        <v/>
      </c>
      <c r="E25" s="63">
        <v>18</v>
      </c>
    </row>
    <row r="26" spans="1:5" x14ac:dyDescent="0.25">
      <c r="A26" s="63" t="str">
        <f>IF(AND(B25&lt;&gt;"",B26=""),"                      Need Substitute Teams","")</f>
        <v/>
      </c>
      <c r="B26" s="183"/>
      <c r="C26" s="185"/>
      <c r="D26" s="63" t="str">
        <f t="shared" si="0"/>
        <v/>
      </c>
      <c r="E26" s="63">
        <v>19</v>
      </c>
    </row>
    <row r="27" spans="1:5" x14ac:dyDescent="0.25">
      <c r="A27" s="63" t="str">
        <f>IF(AND(B26&lt;&gt;"",B27=""),"                      Need Substitute Teams","")</f>
        <v/>
      </c>
      <c r="B27" s="183"/>
      <c r="C27" s="185"/>
      <c r="D27" s="63" t="str">
        <f t="shared" si="0"/>
        <v/>
      </c>
      <c r="E27" s="63">
        <v>20</v>
      </c>
    </row>
    <row r="28" spans="1:5" x14ac:dyDescent="0.25">
      <c r="B28" s="183"/>
      <c r="C28" s="185"/>
      <c r="D28" s="63" t="str">
        <f t="shared" si="0"/>
        <v/>
      </c>
      <c r="E28" s="63">
        <v>21</v>
      </c>
    </row>
    <row r="29" spans="1:5" x14ac:dyDescent="0.25">
      <c r="A29" s="63" t="str">
        <f>IF(AND(B28&lt;&gt;"",B29=""),"                      Need Substitute Teams","")</f>
        <v/>
      </c>
      <c r="B29" s="183"/>
      <c r="C29" s="185"/>
      <c r="D29" s="63" t="str">
        <f t="shared" si="0"/>
        <v/>
      </c>
      <c r="E29" s="63">
        <v>22</v>
      </c>
    </row>
    <row r="30" spans="1:5" x14ac:dyDescent="0.25">
      <c r="A30" s="63" t="str">
        <f>IF(AND(B29&lt;&gt;"",B30=""),"                      Need Substitute Teams","")</f>
        <v/>
      </c>
      <c r="B30" s="183"/>
      <c r="C30" s="185"/>
      <c r="D30" s="63" t="str">
        <f t="shared" si="0"/>
        <v/>
      </c>
      <c r="E30" s="63">
        <v>23</v>
      </c>
    </row>
    <row r="31" spans="1:5" x14ac:dyDescent="0.25">
      <c r="A31" s="63" t="str">
        <f>IF(AND(B30&lt;&gt;"",B31=""),"                      Need Substitute Teams","")</f>
        <v/>
      </c>
      <c r="B31" s="183"/>
      <c r="C31" s="185"/>
      <c r="D31" s="63" t="str">
        <f t="shared" si="0"/>
        <v/>
      </c>
      <c r="E31" s="63">
        <v>24</v>
      </c>
    </row>
    <row r="32" spans="1:5" x14ac:dyDescent="0.25">
      <c r="B32" s="183"/>
      <c r="C32" s="185"/>
      <c r="D32" s="63" t="str">
        <f t="shared" si="0"/>
        <v/>
      </c>
      <c r="E32" s="63">
        <v>25</v>
      </c>
    </row>
    <row r="33" spans="1:5" x14ac:dyDescent="0.25">
      <c r="A33" s="63" t="str">
        <f>IF(AND(B32&lt;&gt;"",B33=""),"                      Need Substitute Teams","")</f>
        <v/>
      </c>
      <c r="B33" s="183"/>
      <c r="C33" s="185"/>
      <c r="D33" s="63" t="str">
        <f t="shared" si="0"/>
        <v/>
      </c>
      <c r="E33" s="63">
        <v>26</v>
      </c>
    </row>
    <row r="34" spans="1:5" x14ac:dyDescent="0.25">
      <c r="A34" s="63" t="str">
        <f>IF(AND(B33&lt;&gt;"",B34=""),"                      Need Substitute Teams","")</f>
        <v/>
      </c>
      <c r="B34" s="183"/>
      <c r="C34" s="185"/>
      <c r="D34" s="63" t="str">
        <f t="shared" si="0"/>
        <v/>
      </c>
      <c r="E34" s="63">
        <v>27</v>
      </c>
    </row>
    <row r="35" spans="1:5" x14ac:dyDescent="0.25">
      <c r="A35" s="63" t="str">
        <f>IF(AND(B34&lt;&gt;"",B35=""),"                      Need Substitute Teams","")</f>
        <v/>
      </c>
      <c r="B35" s="183"/>
      <c r="C35" s="185"/>
      <c r="D35" s="63" t="str">
        <f t="shared" si="0"/>
        <v/>
      </c>
      <c r="E35" s="63">
        <v>28</v>
      </c>
    </row>
    <row r="36" spans="1:5" x14ac:dyDescent="0.25">
      <c r="B36" s="186"/>
      <c r="C36" s="185"/>
      <c r="D36" s="63" t="str">
        <f t="shared" si="0"/>
        <v/>
      </c>
      <c r="E36" s="63">
        <v>29</v>
      </c>
    </row>
    <row r="37" spans="1:5" x14ac:dyDescent="0.25">
      <c r="A37" s="63" t="str">
        <f>IF(AND(B36&lt;&gt;"",B37=""),"                      Need Substitute Teams","")</f>
        <v/>
      </c>
      <c r="B37" s="186"/>
      <c r="C37" s="185"/>
      <c r="D37" s="63" t="str">
        <f t="shared" si="0"/>
        <v/>
      </c>
      <c r="E37" s="63">
        <v>30</v>
      </c>
    </row>
    <row r="38" spans="1:5" x14ac:dyDescent="0.25">
      <c r="A38" s="63" t="str">
        <f>IF(AND(B37&lt;&gt;"",B38=""),"                      Need Substitute Teams","")</f>
        <v/>
      </c>
      <c r="B38" s="186"/>
      <c r="C38" s="185"/>
      <c r="D38" s="63" t="str">
        <f t="shared" si="0"/>
        <v/>
      </c>
      <c r="E38" s="63">
        <v>31</v>
      </c>
    </row>
    <row r="39" spans="1:5" x14ac:dyDescent="0.25">
      <c r="A39" s="63" t="str">
        <f>IF(AND(B38&lt;&gt;"",B39=""),"                      Need Substitute Teams","")</f>
        <v/>
      </c>
      <c r="B39" s="186"/>
      <c r="C39" s="185"/>
      <c r="D39" s="63" t="str">
        <f t="shared" si="0"/>
        <v/>
      </c>
      <c r="E39" s="63">
        <v>32</v>
      </c>
    </row>
    <row r="40" spans="1:5" x14ac:dyDescent="0.25">
      <c r="B40" s="186"/>
      <c r="C40" s="185"/>
      <c r="D40" s="63" t="str">
        <f t="shared" si="0"/>
        <v/>
      </c>
      <c r="E40" s="63">
        <v>33</v>
      </c>
    </row>
    <row r="41" spans="1:5" x14ac:dyDescent="0.25">
      <c r="A41" s="63" t="str">
        <f>IF(AND(B40&lt;&gt;"",B41=""),"                      Need Substitute Teams","")</f>
        <v/>
      </c>
      <c r="B41" s="186"/>
      <c r="C41" s="185"/>
      <c r="D41" s="63" t="str">
        <f t="shared" si="0"/>
        <v/>
      </c>
      <c r="E41" s="63">
        <v>34</v>
      </c>
    </row>
    <row r="42" spans="1:5" x14ac:dyDescent="0.25">
      <c r="A42" s="63" t="str">
        <f>IF(AND(B41&lt;&gt;"",B42=""),"                      Need Substitute Teams","")</f>
        <v/>
      </c>
      <c r="B42" s="186"/>
      <c r="C42" s="185"/>
      <c r="D42" s="63" t="str">
        <f t="shared" si="0"/>
        <v/>
      </c>
      <c r="E42" s="63">
        <v>35</v>
      </c>
    </row>
    <row r="43" spans="1:5" x14ac:dyDescent="0.25">
      <c r="A43" s="63" t="str">
        <f>IF(AND(B42&lt;&gt;"",B43=""),"                      Need Substitute Teams","")</f>
        <v/>
      </c>
      <c r="B43" s="186"/>
      <c r="C43" s="185"/>
      <c r="D43" s="63" t="str">
        <f t="shared" si="0"/>
        <v/>
      </c>
      <c r="E43" s="63">
        <v>36</v>
      </c>
    </row>
    <row r="44" spans="1:5" x14ac:dyDescent="0.25">
      <c r="B44" s="186"/>
      <c r="C44" s="185"/>
      <c r="D44" s="63" t="str">
        <f t="shared" si="0"/>
        <v/>
      </c>
      <c r="E44" s="63">
        <v>37</v>
      </c>
    </row>
    <row r="45" spans="1:5" x14ac:dyDescent="0.25">
      <c r="A45" s="63" t="str">
        <f>IF(AND(B44&lt;&gt;"",B45=""),"                      Need Substitute Teams","")</f>
        <v/>
      </c>
      <c r="B45" s="186"/>
      <c r="C45" s="185"/>
      <c r="D45" s="63" t="str">
        <f t="shared" si="0"/>
        <v/>
      </c>
      <c r="E45" s="63">
        <v>38</v>
      </c>
    </row>
    <row r="46" spans="1:5" x14ac:dyDescent="0.25">
      <c r="A46" s="63" t="str">
        <f>IF(AND(B45&lt;&gt;"",B46=""),"                      Need Substitute Teams","")</f>
        <v/>
      </c>
      <c r="B46" s="186"/>
      <c r="C46" s="185"/>
      <c r="D46" s="63" t="str">
        <f t="shared" si="0"/>
        <v/>
      </c>
      <c r="E46" s="63">
        <v>39</v>
      </c>
    </row>
    <row r="47" spans="1:5" x14ac:dyDescent="0.25">
      <c r="A47" s="63" t="str">
        <f>IF(AND(B46&lt;&gt;"",B47=""),"                      Need Substitute Teams","")</f>
        <v/>
      </c>
      <c r="B47" s="186"/>
      <c r="C47" s="185"/>
      <c r="D47" s="63" t="str">
        <f t="shared" si="0"/>
        <v/>
      </c>
      <c r="E47" s="63">
        <v>40</v>
      </c>
    </row>
    <row r="48" spans="1:5" x14ac:dyDescent="0.25">
      <c r="B48" s="186"/>
      <c r="C48" s="185"/>
      <c r="D48" s="63" t="str">
        <f t="shared" si="0"/>
        <v/>
      </c>
      <c r="E48" s="63">
        <v>41</v>
      </c>
    </row>
    <row r="49" spans="1:5" x14ac:dyDescent="0.25">
      <c r="A49" s="63" t="str">
        <f>IF(AND(B48&lt;&gt;"",B49=""),"                      Need Substitute Teams","")</f>
        <v/>
      </c>
      <c r="B49" s="186"/>
      <c r="C49" s="185"/>
      <c r="D49" s="63" t="str">
        <f t="shared" si="0"/>
        <v/>
      </c>
      <c r="E49" s="63">
        <v>42</v>
      </c>
    </row>
    <row r="50" spans="1:5" x14ac:dyDescent="0.25">
      <c r="A50" s="63" t="str">
        <f>IF(AND(B49&lt;&gt;"",B50=""),"                      Need Substitute Teams","")</f>
        <v/>
      </c>
      <c r="B50" s="186"/>
      <c r="C50" s="185"/>
      <c r="D50" s="63" t="str">
        <f t="shared" si="0"/>
        <v/>
      </c>
      <c r="E50" s="63">
        <v>43</v>
      </c>
    </row>
    <row r="51" spans="1:5" x14ac:dyDescent="0.25">
      <c r="A51" s="63" t="str">
        <f>IF(AND(B50&lt;&gt;"",B51=""),"                      Need Substitute Teams","")</f>
        <v/>
      </c>
      <c r="B51" s="186"/>
      <c r="C51" s="185"/>
      <c r="D51" s="63" t="str">
        <f t="shared" si="0"/>
        <v/>
      </c>
      <c r="E51" s="63">
        <v>44</v>
      </c>
    </row>
    <row r="52" spans="1:5" x14ac:dyDescent="0.25">
      <c r="B52" s="186"/>
      <c r="C52" s="185"/>
      <c r="D52" s="63" t="str">
        <f t="shared" si="0"/>
        <v/>
      </c>
      <c r="E52" s="63">
        <v>45</v>
      </c>
    </row>
    <row r="53" spans="1:5" x14ac:dyDescent="0.25">
      <c r="A53" s="63" t="str">
        <f>IF(AND(B52&lt;&gt;"",B53=""),"                      Need Substitute Teams","")</f>
        <v/>
      </c>
      <c r="B53" s="186"/>
      <c r="C53" s="185"/>
      <c r="D53" s="63" t="str">
        <f t="shared" si="0"/>
        <v/>
      </c>
      <c r="E53" s="63">
        <v>46</v>
      </c>
    </row>
    <row r="54" spans="1:5" x14ac:dyDescent="0.25">
      <c r="A54" s="63" t="str">
        <f>IF(AND(B53&lt;&gt;"",B54=""),"                      Need Substitute Teams","")</f>
        <v/>
      </c>
      <c r="B54" s="186"/>
      <c r="C54" s="185"/>
      <c r="D54" s="63" t="str">
        <f t="shared" si="0"/>
        <v/>
      </c>
      <c r="E54" s="63">
        <v>47</v>
      </c>
    </row>
    <row r="55" spans="1:5" x14ac:dyDescent="0.25">
      <c r="A55" s="63" t="str">
        <f>IF(AND(B54&lt;&gt;"",B55=""),"                      Need Substitute Teams","")</f>
        <v/>
      </c>
      <c r="B55" s="186"/>
      <c r="C55" s="185"/>
      <c r="D55" s="63" t="str">
        <f t="shared" si="0"/>
        <v/>
      </c>
      <c r="E55" s="63">
        <v>48</v>
      </c>
    </row>
    <row r="56" spans="1:5" x14ac:dyDescent="0.25">
      <c r="B56" s="186"/>
      <c r="C56" s="185"/>
      <c r="D56" s="63" t="str">
        <f t="shared" si="0"/>
        <v/>
      </c>
      <c r="E56" s="63">
        <v>49</v>
      </c>
    </row>
    <row r="57" spans="1:5" x14ac:dyDescent="0.25">
      <c r="A57" s="63" t="str">
        <f>IF(AND(B56&lt;&gt;"",B57=""),"                      Need Substitute Teams","")</f>
        <v/>
      </c>
      <c r="B57" s="186"/>
      <c r="C57" s="185"/>
      <c r="D57" s="63" t="str">
        <f t="shared" si="0"/>
        <v/>
      </c>
      <c r="E57" s="63">
        <v>50</v>
      </c>
    </row>
    <row r="58" spans="1:5" x14ac:dyDescent="0.25">
      <c r="A58" s="63" t="str">
        <f>IF(AND(B57&lt;&gt;"",B58=""),"                      Need Substitute Teams","")</f>
        <v/>
      </c>
      <c r="B58" s="186"/>
      <c r="C58" s="185"/>
      <c r="D58" s="63" t="str">
        <f t="shared" si="0"/>
        <v/>
      </c>
      <c r="E58" s="63">
        <v>51</v>
      </c>
    </row>
    <row r="59" spans="1:5" x14ac:dyDescent="0.25">
      <c r="A59" s="63" t="str">
        <f>IF(AND(B58&lt;&gt;"",B59=""),"                      Need Substitute Teams","")</f>
        <v/>
      </c>
      <c r="B59" s="186"/>
      <c r="C59" s="185"/>
      <c r="D59" s="63" t="str">
        <f t="shared" si="0"/>
        <v/>
      </c>
      <c r="E59" s="63">
        <v>52</v>
      </c>
    </row>
    <row r="60" spans="1:5" x14ac:dyDescent="0.25">
      <c r="B60" s="186"/>
      <c r="C60" s="185"/>
      <c r="D60" s="63" t="str">
        <f t="shared" si="0"/>
        <v/>
      </c>
      <c r="E60" s="63">
        <v>53</v>
      </c>
    </row>
    <row r="61" spans="1:5" x14ac:dyDescent="0.25">
      <c r="A61" s="63" t="str">
        <f>IF(AND(B60&lt;&gt;"",B61=""),"                      Need Substitute Teams","")</f>
        <v/>
      </c>
      <c r="B61" s="186"/>
      <c r="C61" s="185"/>
      <c r="D61" s="63" t="str">
        <f t="shared" si="0"/>
        <v/>
      </c>
      <c r="E61" s="63">
        <v>54</v>
      </c>
    </row>
    <row r="62" spans="1:5" x14ac:dyDescent="0.25">
      <c r="A62" s="63" t="str">
        <f>IF(AND(B61&lt;&gt;"",B62=""),"                      Need Substitute Teams","")</f>
        <v/>
      </c>
      <c r="B62" s="186"/>
      <c r="C62" s="185"/>
      <c r="D62" s="63" t="str">
        <f t="shared" si="0"/>
        <v/>
      </c>
      <c r="E62" s="63">
        <v>55</v>
      </c>
    </row>
    <row r="63" spans="1:5" x14ac:dyDescent="0.25">
      <c r="A63" s="63" t="str">
        <f>IF(AND(B62&lt;&gt;"",B63=""),"                      Need Substitute Teams","")</f>
        <v/>
      </c>
      <c r="B63" s="186"/>
      <c r="C63" s="185"/>
      <c r="D63" s="63" t="str">
        <f t="shared" si="0"/>
        <v/>
      </c>
      <c r="E63" s="63">
        <v>56</v>
      </c>
    </row>
    <row r="64" spans="1:5" x14ac:dyDescent="0.25">
      <c r="B64" s="186"/>
      <c r="C64" s="185"/>
      <c r="D64" s="63" t="str">
        <f t="shared" si="0"/>
        <v/>
      </c>
      <c r="E64" s="63">
        <v>57</v>
      </c>
    </row>
    <row r="65" spans="1:5" x14ac:dyDescent="0.25">
      <c r="A65" s="63" t="str">
        <f>IF(AND(B64&lt;&gt;"",B65=""),"                      Need Substitute Teams","")</f>
        <v/>
      </c>
      <c r="B65" s="186"/>
      <c r="C65" s="185"/>
      <c r="D65" s="63" t="str">
        <f t="shared" si="0"/>
        <v/>
      </c>
      <c r="E65" s="63">
        <v>58</v>
      </c>
    </row>
    <row r="66" spans="1:5" x14ac:dyDescent="0.25">
      <c r="A66" s="63" t="str">
        <f>IF(AND(B65&lt;&gt;"",B66=""),"                      Need Substitute Teams","")</f>
        <v/>
      </c>
      <c r="B66" s="186"/>
      <c r="C66" s="185"/>
      <c r="D66" s="63" t="str">
        <f t="shared" si="0"/>
        <v/>
      </c>
      <c r="E66" s="63">
        <v>59</v>
      </c>
    </row>
    <row r="67" spans="1:5" x14ac:dyDescent="0.25">
      <c r="A67" s="63" t="str">
        <f>IF(AND(B66&lt;&gt;"",B67=""),"                      Need Substitute Teams","")</f>
        <v/>
      </c>
      <c r="B67" s="186"/>
      <c r="C67" s="185"/>
      <c r="D67" s="63" t="str">
        <f t="shared" si="0"/>
        <v/>
      </c>
      <c r="E67" s="63">
        <v>60</v>
      </c>
    </row>
    <row r="68" spans="1:5" x14ac:dyDescent="0.25">
      <c r="B68" s="186"/>
      <c r="C68" s="185"/>
      <c r="D68" s="63" t="str">
        <f t="shared" si="0"/>
        <v/>
      </c>
      <c r="E68" s="63">
        <v>61</v>
      </c>
    </row>
    <row r="69" spans="1:5" x14ac:dyDescent="0.25">
      <c r="A69" s="63" t="str">
        <f>IF(AND(B68&lt;&gt;"",B69=""),"                      Need Substitute Teams","")</f>
        <v/>
      </c>
      <c r="B69" s="186"/>
      <c r="C69" s="185"/>
      <c r="D69" s="63" t="str">
        <f t="shared" si="0"/>
        <v/>
      </c>
      <c r="E69" s="63">
        <v>62</v>
      </c>
    </row>
    <row r="70" spans="1:5" x14ac:dyDescent="0.25">
      <c r="A70" s="63" t="str">
        <f>IF(AND(B69&lt;&gt;"",B70=""),"                      Need Substitute Teams","")</f>
        <v/>
      </c>
      <c r="B70" s="186"/>
      <c r="C70" s="185"/>
      <c r="D70" s="63" t="str">
        <f t="shared" si="0"/>
        <v/>
      </c>
      <c r="E70" s="63">
        <v>63</v>
      </c>
    </row>
    <row r="71" spans="1:5" x14ac:dyDescent="0.25">
      <c r="A71" s="63" t="str">
        <f>IF(AND(B70&lt;&gt;"",B71=""),"                      Need Substitute Teams","")</f>
        <v/>
      </c>
      <c r="B71" s="186"/>
      <c r="C71" s="185"/>
      <c r="D71" s="63" t="str">
        <f t="shared" si="0"/>
        <v/>
      </c>
      <c r="E71" s="63">
        <v>64</v>
      </c>
    </row>
    <row r="72" spans="1:5" x14ac:dyDescent="0.25">
      <c r="B72" s="186"/>
      <c r="C72" s="185"/>
      <c r="D72" s="63" t="str">
        <f t="shared" si="0"/>
        <v/>
      </c>
      <c r="E72" s="63">
        <v>65</v>
      </c>
    </row>
    <row r="73" spans="1:5" x14ac:dyDescent="0.25">
      <c r="A73" s="63" t="str">
        <f>IF(AND(B72&lt;&gt;"",B73=""),"                      Need Substitute Teams","")</f>
        <v/>
      </c>
      <c r="B73" s="186"/>
      <c r="C73" s="185"/>
      <c r="D73" s="63" t="str">
        <f t="shared" ref="D73:D87" si="1">IF(B73="","",E73)</f>
        <v/>
      </c>
      <c r="E73" s="63">
        <v>66</v>
      </c>
    </row>
    <row r="74" spans="1:5" x14ac:dyDescent="0.25">
      <c r="A74" s="63" t="str">
        <f>IF(AND(B73&lt;&gt;"",B74=""),"                      Need Substitute Teams","")</f>
        <v/>
      </c>
      <c r="B74" s="186"/>
      <c r="C74" s="185"/>
      <c r="D74" s="63" t="str">
        <f t="shared" si="1"/>
        <v/>
      </c>
      <c r="E74" s="63">
        <v>67</v>
      </c>
    </row>
    <row r="75" spans="1:5" x14ac:dyDescent="0.25">
      <c r="A75" s="63" t="str">
        <f>IF(AND(B74&lt;&gt;"",B75=""),"                      Need Substitute Teams","")</f>
        <v/>
      </c>
      <c r="B75" s="186"/>
      <c r="C75" s="185"/>
      <c r="D75" s="63" t="str">
        <f t="shared" si="1"/>
        <v/>
      </c>
      <c r="E75" s="63">
        <v>68</v>
      </c>
    </row>
    <row r="76" spans="1:5" x14ac:dyDescent="0.25">
      <c r="B76" s="186"/>
      <c r="C76" s="185"/>
      <c r="D76" s="63" t="str">
        <f t="shared" si="1"/>
        <v/>
      </c>
      <c r="E76" s="63">
        <v>69</v>
      </c>
    </row>
    <row r="77" spans="1:5" x14ac:dyDescent="0.25">
      <c r="A77" s="63" t="str">
        <f>IF(AND(B76&lt;&gt;"",B77=""),"                      Need Substitute Teams","")</f>
        <v/>
      </c>
      <c r="B77" s="186"/>
      <c r="C77" s="185"/>
      <c r="D77" s="63" t="str">
        <f t="shared" si="1"/>
        <v/>
      </c>
      <c r="E77" s="63">
        <v>70</v>
      </c>
    </row>
    <row r="78" spans="1:5" x14ac:dyDescent="0.25">
      <c r="A78" s="63" t="str">
        <f>IF(AND(B77&lt;&gt;"",B78=""),"                      Need Substitute Teams","")</f>
        <v/>
      </c>
      <c r="B78" s="186"/>
      <c r="C78" s="185"/>
      <c r="D78" s="63" t="str">
        <f t="shared" si="1"/>
        <v/>
      </c>
      <c r="E78" s="63">
        <v>71</v>
      </c>
    </row>
    <row r="79" spans="1:5" x14ac:dyDescent="0.25">
      <c r="A79" s="63" t="str">
        <f>IF(AND(B78&lt;&gt;"",B79=""),"                      Need Substitute Teams","")</f>
        <v/>
      </c>
      <c r="B79" s="186"/>
      <c r="C79" s="185"/>
      <c r="D79" s="63" t="str">
        <f t="shared" si="1"/>
        <v/>
      </c>
      <c r="E79" s="63">
        <v>72</v>
      </c>
    </row>
    <row r="80" spans="1:5" x14ac:dyDescent="0.25">
      <c r="B80" s="186"/>
      <c r="C80" s="185"/>
      <c r="D80" s="63" t="str">
        <f t="shared" si="1"/>
        <v/>
      </c>
      <c r="E80" s="63">
        <v>73</v>
      </c>
    </row>
    <row r="81" spans="1:5" x14ac:dyDescent="0.25">
      <c r="A81" s="63" t="str">
        <f>IF(AND(B80&lt;&gt;"",B81=""),"                      Need Substitute Teams","")</f>
        <v/>
      </c>
      <c r="B81" s="186"/>
      <c r="C81" s="185"/>
      <c r="D81" s="63" t="str">
        <f t="shared" si="1"/>
        <v/>
      </c>
      <c r="E81" s="63">
        <v>74</v>
      </c>
    </row>
    <row r="82" spans="1:5" x14ac:dyDescent="0.25">
      <c r="A82" s="63" t="str">
        <f>IF(AND(B81&lt;&gt;"",B82=""),"                      Need Substitute Teams","")</f>
        <v/>
      </c>
      <c r="B82" s="186"/>
      <c r="C82" s="185"/>
      <c r="D82" s="63" t="str">
        <f t="shared" si="1"/>
        <v/>
      </c>
      <c r="E82" s="63">
        <v>75</v>
      </c>
    </row>
    <row r="83" spans="1:5" x14ac:dyDescent="0.25">
      <c r="A83" s="63" t="str">
        <f>IF(AND(B82&lt;&gt;"",B83=""),"                      Need Substitute Teams","")</f>
        <v/>
      </c>
      <c r="B83" s="186"/>
      <c r="C83" s="185"/>
      <c r="D83" s="63" t="str">
        <f t="shared" si="1"/>
        <v/>
      </c>
      <c r="E83" s="63">
        <v>76</v>
      </c>
    </row>
    <row r="84" spans="1:5" x14ac:dyDescent="0.25">
      <c r="B84" s="186"/>
      <c r="C84" s="185"/>
      <c r="D84" s="63" t="str">
        <f t="shared" si="1"/>
        <v/>
      </c>
      <c r="E84" s="63">
        <v>77</v>
      </c>
    </row>
    <row r="85" spans="1:5" x14ac:dyDescent="0.25">
      <c r="A85" s="63" t="str">
        <f>IF(AND(B84&lt;&gt;"",B85=""),"                      Need Substitute Teams","")</f>
        <v/>
      </c>
      <c r="B85" s="186"/>
      <c r="C85" s="185"/>
      <c r="D85" s="63" t="str">
        <f t="shared" si="1"/>
        <v/>
      </c>
      <c r="E85" s="63">
        <v>78</v>
      </c>
    </row>
    <row r="86" spans="1:5" x14ac:dyDescent="0.25">
      <c r="A86" s="63" t="str">
        <f>IF(AND(B85&lt;&gt;"",B86=""),"                      Need Substitute Teams","")</f>
        <v/>
      </c>
      <c r="B86" s="186"/>
      <c r="C86" s="185"/>
      <c r="D86" s="63" t="str">
        <f t="shared" si="1"/>
        <v/>
      </c>
      <c r="E86" s="63">
        <v>79</v>
      </c>
    </row>
    <row r="87" spans="1:5" ht="13.8" thickBot="1" x14ac:dyDescent="0.3">
      <c r="A87" s="63" t="str">
        <f>IF(AND(B86&lt;&gt;"",B87=""),"                      Need Substitute Teams","")</f>
        <v/>
      </c>
      <c r="B87" s="186"/>
      <c r="C87" s="185"/>
      <c r="D87" s="63" t="str">
        <f t="shared" si="1"/>
        <v/>
      </c>
      <c r="E87" s="63">
        <v>80</v>
      </c>
    </row>
    <row r="88" spans="1:5" x14ac:dyDescent="0.25">
      <c r="B88" s="85"/>
      <c r="C88" s="63"/>
    </row>
    <row r="89" spans="1:5" x14ac:dyDescent="0.25">
      <c r="B89" s="63"/>
      <c r="C89" s="63"/>
    </row>
    <row r="90" spans="1:5" x14ac:dyDescent="0.25">
      <c r="B90" s="63"/>
      <c r="C90" s="63"/>
    </row>
    <row r="91" spans="1:5" x14ac:dyDescent="0.25">
      <c r="B91" s="63"/>
      <c r="C91" s="63"/>
    </row>
    <row r="92" spans="1:5" x14ac:dyDescent="0.25">
      <c r="B92" s="63"/>
      <c r="C92" s="63"/>
    </row>
    <row r="93" spans="1:5" x14ac:dyDescent="0.25">
      <c r="B93" s="63"/>
      <c r="C93" s="63"/>
    </row>
    <row r="94" spans="1:5" x14ac:dyDescent="0.25">
      <c r="B94" s="63"/>
      <c r="C94" s="63"/>
    </row>
    <row r="95" spans="1:5" x14ac:dyDescent="0.25">
      <c r="B95" s="63"/>
      <c r="C95" s="63"/>
    </row>
    <row r="96" spans="1:5" x14ac:dyDescent="0.25">
      <c r="B96" s="63"/>
      <c r="C96" s="63"/>
    </row>
    <row r="97" spans="2:3" x14ac:dyDescent="0.25">
      <c r="B97" s="63"/>
      <c r="C97" s="63"/>
    </row>
    <row r="98" spans="2:3" x14ac:dyDescent="0.25">
      <c r="B98" s="63"/>
      <c r="C98" s="63"/>
    </row>
    <row r="99" spans="2:3" x14ac:dyDescent="0.25">
      <c r="B99" s="63"/>
      <c r="C99" s="63"/>
    </row>
    <row r="100" spans="2:3" x14ac:dyDescent="0.25">
      <c r="B100" s="63"/>
      <c r="C100" s="63"/>
    </row>
    <row r="101" spans="2:3" x14ac:dyDescent="0.25">
      <c r="B101" s="63"/>
      <c r="C101" s="63"/>
    </row>
    <row r="102" spans="2:3" x14ac:dyDescent="0.25">
      <c r="B102" s="63"/>
      <c r="C102" s="63"/>
    </row>
    <row r="103" spans="2:3" x14ac:dyDescent="0.25">
      <c r="B103" s="63"/>
      <c r="C103" s="63"/>
    </row>
    <row r="104" spans="2:3" x14ac:dyDescent="0.25">
      <c r="B104" s="63"/>
      <c r="C104" s="63"/>
    </row>
    <row r="105" spans="2:3" x14ac:dyDescent="0.25">
      <c r="B105" s="63"/>
      <c r="C105" s="63"/>
    </row>
    <row r="106" spans="2:3" x14ac:dyDescent="0.25">
      <c r="B106" s="63"/>
      <c r="C106" s="63"/>
    </row>
    <row r="107" spans="2:3" x14ac:dyDescent="0.25">
      <c r="B107" s="63"/>
      <c r="C107" s="63"/>
    </row>
    <row r="108" spans="2:3" x14ac:dyDescent="0.25">
      <c r="B108" s="63"/>
      <c r="C108" s="63"/>
    </row>
    <row r="109" spans="2:3" x14ac:dyDescent="0.25">
      <c r="B109" s="63"/>
      <c r="C109" s="63"/>
    </row>
    <row r="110" spans="2:3" x14ac:dyDescent="0.25">
      <c r="B110" s="63"/>
      <c r="C110" s="63"/>
    </row>
    <row r="111" spans="2:3" x14ac:dyDescent="0.25">
      <c r="B111" s="63"/>
      <c r="C111" s="63"/>
    </row>
    <row r="112" spans="2:3" x14ac:dyDescent="0.25">
      <c r="B112" s="63"/>
      <c r="C112" s="63"/>
    </row>
    <row r="113" spans="2:3" x14ac:dyDescent="0.25">
      <c r="B113" s="63"/>
      <c r="C113" s="63"/>
    </row>
    <row r="114" spans="2:3" x14ac:dyDescent="0.25">
      <c r="B114" s="63"/>
      <c r="C114" s="63"/>
    </row>
    <row r="115" spans="2:3" x14ac:dyDescent="0.25">
      <c r="B115" s="63"/>
      <c r="C115" s="63"/>
    </row>
    <row r="116" spans="2:3" x14ac:dyDescent="0.25">
      <c r="B116" s="63"/>
      <c r="C116" s="63"/>
    </row>
    <row r="117" spans="2:3" x14ac:dyDescent="0.25">
      <c r="B117" s="63"/>
      <c r="C117" s="63"/>
    </row>
    <row r="118" spans="2:3" x14ac:dyDescent="0.25">
      <c r="B118" s="63"/>
      <c r="C118" s="63"/>
    </row>
    <row r="119" spans="2:3" x14ac:dyDescent="0.25">
      <c r="B119" s="63"/>
      <c r="C119" s="63"/>
    </row>
    <row r="120" spans="2:3" x14ac:dyDescent="0.25">
      <c r="B120" s="63"/>
      <c r="C120" s="63"/>
    </row>
    <row r="121" spans="2:3" x14ac:dyDescent="0.25">
      <c r="B121" s="63"/>
      <c r="C121" s="63"/>
    </row>
    <row r="122" spans="2:3" x14ac:dyDescent="0.25">
      <c r="B122" s="63"/>
      <c r="C122" s="63"/>
    </row>
    <row r="123" spans="2:3" x14ac:dyDescent="0.25">
      <c r="B123" s="63"/>
      <c r="C123" s="63"/>
    </row>
    <row r="124" spans="2:3" x14ac:dyDescent="0.25">
      <c r="B124" s="63"/>
      <c r="C124" s="63"/>
    </row>
    <row r="125" spans="2:3" x14ac:dyDescent="0.25">
      <c r="B125" s="63"/>
      <c r="C125" s="63"/>
    </row>
    <row r="126" spans="2:3" x14ac:dyDescent="0.25">
      <c r="B126" s="63"/>
      <c r="C126" s="63"/>
    </row>
    <row r="127" spans="2:3" x14ac:dyDescent="0.25">
      <c r="B127" s="63"/>
      <c r="C127" s="63"/>
    </row>
    <row r="128" spans="2:3" x14ac:dyDescent="0.25">
      <c r="B128" s="63"/>
      <c r="C128" s="63"/>
    </row>
    <row r="129" spans="2:3" x14ac:dyDescent="0.25">
      <c r="B129" s="63"/>
      <c r="C129" s="63"/>
    </row>
    <row r="130" spans="2:3" x14ac:dyDescent="0.25">
      <c r="B130" s="63"/>
      <c r="C130" s="63"/>
    </row>
    <row r="131" spans="2:3" x14ac:dyDescent="0.25">
      <c r="B131" s="63"/>
      <c r="C131" s="63"/>
    </row>
    <row r="132" spans="2:3" x14ac:dyDescent="0.25">
      <c r="B132" s="63"/>
      <c r="C132" s="63"/>
    </row>
    <row r="133" spans="2:3" x14ac:dyDescent="0.25">
      <c r="B133" s="63"/>
      <c r="C133" s="63"/>
    </row>
    <row r="134" spans="2:3" x14ac:dyDescent="0.25">
      <c r="B134" s="63"/>
      <c r="C134" s="63"/>
    </row>
    <row r="135" spans="2:3" x14ac:dyDescent="0.25">
      <c r="B135" s="63"/>
      <c r="C135" s="63"/>
    </row>
    <row r="136" spans="2:3" x14ac:dyDescent="0.25">
      <c r="B136" s="63"/>
      <c r="C136" s="63"/>
    </row>
  </sheetData>
  <phoneticPr fontId="0" type="noConversion"/>
  <pageMargins left="0.75" right="0.75" top="1" bottom="1" header="0.5" footer="0.5"/>
  <headerFooter>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42E21-EF2C-45E0-B9B4-4DF38C6C3552}">
  <sheetPr codeName="WS_Scoring"/>
  <dimension ref="B1:P125"/>
  <sheetViews>
    <sheetView showGridLines="0" zoomScale="85" zoomScaleNormal="85" workbookViewId="0">
      <selection activeCell="C34" sqref="C34"/>
      <extLst>
        <ext xmlns:xlsdti="http://schemas.microsoft.com/office/spreadsheetml/2023/showDataTypeIcons" uri="{77bfe23e-c014-4d31-8a63-9c772dbf06b6}">
          <xlsdti:showDataTypeIcons visible="0"/>
        </ext>
      </extLst>
    </sheetView>
  </sheetViews>
  <sheetFormatPr defaultColWidth="9" defaultRowHeight="21" x14ac:dyDescent="0.4"/>
  <cols>
    <col min="1" max="1" width="1.33203125" style="128" customWidth="1"/>
    <col min="2" max="2" width="11.88671875" style="128" customWidth="1"/>
    <col min="3" max="3" width="76.6640625" style="128" customWidth="1"/>
    <col min="4" max="4" width="53.44140625" style="128" customWidth="1"/>
    <col min="5" max="5" width="1.88671875" style="128" customWidth="1"/>
    <col min="6" max="6" width="10.109375" style="128" hidden="1" customWidth="1"/>
    <col min="7" max="7" width="29" style="128" bestFit="1" customWidth="1"/>
    <col min="8" max="8" width="6.88671875" style="142" hidden="1" customWidth="1"/>
    <col min="9" max="13" width="9" style="128"/>
    <col min="14" max="14" width="12" style="128" bestFit="1" customWidth="1"/>
    <col min="15" max="17" width="9" style="128"/>
    <col min="18" max="18" width="9" style="128" customWidth="1"/>
    <col min="19" max="16384" width="9" style="128"/>
  </cols>
  <sheetData>
    <row r="1" spans="2:16" ht="6.75" customHeight="1" thickBot="1" x14ac:dyDescent="0.45"/>
    <row r="2" spans="2:16" ht="24" customHeight="1" thickBot="1" x14ac:dyDescent="0.55000000000000004">
      <c r="B2" s="161" t="s">
        <v>201</v>
      </c>
      <c r="C2" s="162"/>
      <c r="D2" s="162"/>
      <c r="E2" s="162"/>
      <c r="F2" s="163"/>
      <c r="G2" s="132"/>
      <c r="H2" s="142" t="s">
        <v>147</v>
      </c>
    </row>
    <row r="3" spans="2:16" ht="24" customHeight="1" thickBot="1" x14ac:dyDescent="0.5">
      <c r="B3" s="187" t="s">
        <v>128</v>
      </c>
      <c r="C3" s="188" t="s">
        <v>129</v>
      </c>
      <c r="D3" s="187" t="s">
        <v>130</v>
      </c>
      <c r="E3" s="134"/>
      <c r="F3" s="133"/>
      <c r="P3" s="129"/>
    </row>
    <row r="4" spans="2:16" ht="29.4" thickBot="1" x14ac:dyDescent="0.4">
      <c r="B4" s="189" t="s">
        <v>131</v>
      </c>
      <c r="C4" s="190" t="s">
        <v>195</v>
      </c>
      <c r="D4" s="191"/>
      <c r="E4" s="121" t="str">
        <f t="shared" ref="E4:E34" si="0">IF(F4=""," ",IF(H4=10000," ",""))</f>
        <v xml:space="preserve"> </v>
      </c>
      <c r="F4" s="122"/>
      <c r="H4" s="143">
        <f>(F4-1)*20</f>
        <v>-20</v>
      </c>
      <c r="P4" s="129"/>
    </row>
    <row r="5" spans="2:16" ht="20.7" customHeight="1" thickBot="1" x14ac:dyDescent="0.4">
      <c r="B5" s="156" t="s">
        <v>132</v>
      </c>
      <c r="C5" s="144" t="s">
        <v>171</v>
      </c>
      <c r="D5" s="141"/>
      <c r="E5" s="120" t="str">
        <f t="shared" si="0"/>
        <v xml:space="preserve"> </v>
      </c>
      <c r="F5" s="130"/>
      <c r="H5" s="143">
        <f>(F5-1)*20</f>
        <v>-20</v>
      </c>
    </row>
    <row r="6" spans="2:16" ht="29.4" thickBot="1" x14ac:dyDescent="0.4">
      <c r="B6" s="155"/>
      <c r="C6" s="145" t="s">
        <v>192</v>
      </c>
      <c r="D6" s="147"/>
      <c r="E6" s="120" t="str">
        <f t="shared" si="0"/>
        <v xml:space="preserve"> </v>
      </c>
      <c r="F6" s="130"/>
      <c r="H6" s="143">
        <f>IF(F5&gt;1,(F6-1)*10,0)</f>
        <v>0</v>
      </c>
    </row>
    <row r="7" spans="2:16" ht="20.7" customHeight="1" thickBot="1" x14ac:dyDescent="0.4">
      <c r="B7" s="192" t="s">
        <v>133</v>
      </c>
      <c r="C7" s="193" t="s">
        <v>172</v>
      </c>
      <c r="D7" s="194"/>
      <c r="E7" s="120" t="str">
        <f t="shared" si="0"/>
        <v xml:space="preserve"> </v>
      </c>
      <c r="F7" s="130"/>
      <c r="H7" s="143">
        <f>(F7-1)*10</f>
        <v>-10</v>
      </c>
    </row>
    <row r="8" spans="2:16" ht="20.7" customHeight="1" thickBot="1" x14ac:dyDescent="0.4">
      <c r="B8" s="156" t="s">
        <v>134</v>
      </c>
      <c r="C8" s="144" t="s">
        <v>173</v>
      </c>
      <c r="D8" s="141"/>
      <c r="E8" s="120" t="str">
        <f t="shared" si="0"/>
        <v xml:space="preserve"> </v>
      </c>
      <c r="F8" s="130"/>
      <c r="H8" s="143">
        <f>(F8-1)*20</f>
        <v>-20</v>
      </c>
    </row>
    <row r="9" spans="2:16" ht="20.7" customHeight="1" thickBot="1" x14ac:dyDescent="0.4">
      <c r="B9" s="155"/>
      <c r="C9" s="145" t="s">
        <v>194</v>
      </c>
      <c r="D9" s="147"/>
      <c r="E9" s="120" t="str">
        <f t="shared" si="0"/>
        <v xml:space="preserve"> </v>
      </c>
      <c r="F9" s="130"/>
      <c r="H9" s="143">
        <f>IF(F8&gt;1, (F9-1)*10, 0)</f>
        <v>0</v>
      </c>
    </row>
    <row r="10" spans="2:16" ht="20.7" customHeight="1" thickBot="1" x14ac:dyDescent="0.4">
      <c r="B10" s="192" t="s">
        <v>135</v>
      </c>
      <c r="C10" s="193" t="s">
        <v>174</v>
      </c>
      <c r="D10" s="194"/>
      <c r="E10" s="120" t="str">
        <f t="shared" si="0"/>
        <v xml:space="preserve"> </v>
      </c>
      <c r="F10" s="130"/>
      <c r="H10" s="143">
        <f>IF(AND(F11&gt;1,(F10&gt;1)),10,0)</f>
        <v>0</v>
      </c>
    </row>
    <row r="11" spans="2:16" ht="20.7" customHeight="1" thickBot="1" x14ac:dyDescent="0.4">
      <c r="B11" s="195"/>
      <c r="C11" s="196" t="s">
        <v>175</v>
      </c>
      <c r="D11" s="197"/>
      <c r="E11" s="120" t="str">
        <f t="shared" si="0"/>
        <v xml:space="preserve"> </v>
      </c>
      <c r="F11" s="130"/>
      <c r="H11" s="143"/>
    </row>
    <row r="12" spans="2:16" ht="37.35" customHeight="1" thickBot="1" x14ac:dyDescent="0.4">
      <c r="B12" s="198"/>
      <c r="C12" s="199" t="s">
        <v>197</v>
      </c>
      <c r="D12" s="200"/>
      <c r="E12" s="120" t="str">
        <f t="shared" si="0"/>
        <v xml:space="preserve"> </v>
      </c>
      <c r="F12" s="130"/>
      <c r="G12" s="131"/>
      <c r="H12" s="143">
        <f>IF(AND(F10&gt;2,F11&gt;1),(F12-1)*20,0)</f>
        <v>0</v>
      </c>
    </row>
    <row r="13" spans="2:16" ht="20.7" customHeight="1" thickBot="1" x14ac:dyDescent="0.4">
      <c r="B13" s="156" t="s">
        <v>136</v>
      </c>
      <c r="C13" s="146" t="s">
        <v>176</v>
      </c>
      <c r="D13" s="141"/>
      <c r="E13" s="120" t="str">
        <f t="shared" si="0"/>
        <v xml:space="preserve"> </v>
      </c>
      <c r="F13" s="130"/>
      <c r="H13" s="143">
        <f>(F13-1)*10</f>
        <v>-10</v>
      </c>
    </row>
    <row r="14" spans="2:16" ht="20.7" customHeight="1" thickBot="1" x14ac:dyDescent="0.4">
      <c r="B14" s="201" t="s">
        <v>137</v>
      </c>
      <c r="C14" s="202" t="s">
        <v>177</v>
      </c>
      <c r="D14" s="194"/>
      <c r="E14" s="120" t="str">
        <f t="shared" si="0"/>
        <v xml:space="preserve"> </v>
      </c>
      <c r="F14" s="130"/>
      <c r="H14" s="143"/>
    </row>
    <row r="15" spans="2:16" ht="20.7" customHeight="1" thickBot="1" x14ac:dyDescent="0.4">
      <c r="B15" s="203"/>
      <c r="C15" s="204" t="s">
        <v>198</v>
      </c>
      <c r="D15" s="200"/>
      <c r="E15" s="120" t="str">
        <f t="shared" si="0"/>
        <v xml:space="preserve"> </v>
      </c>
      <c r="F15" s="130"/>
      <c r="H15" s="143">
        <f>IF(F14&gt;1,(F15-1)*10,0)</f>
        <v>0</v>
      </c>
    </row>
    <row r="16" spans="2:16" ht="20.7" customHeight="1" thickBot="1" x14ac:dyDescent="0.4">
      <c r="B16" s="158" t="s">
        <v>138</v>
      </c>
      <c r="C16" s="144" t="s">
        <v>196</v>
      </c>
      <c r="D16" s="141"/>
      <c r="E16" s="120" t="str">
        <f t="shared" si="0"/>
        <v xml:space="preserve"> </v>
      </c>
      <c r="F16" s="130"/>
      <c r="H16" s="143">
        <f>(F16-1)*20</f>
        <v>-20</v>
      </c>
    </row>
    <row r="17" spans="2:8" ht="29.4" thickBot="1" x14ac:dyDescent="0.4">
      <c r="B17" s="160"/>
      <c r="C17" s="149" t="s">
        <v>199</v>
      </c>
      <c r="D17" s="148"/>
      <c r="E17" s="120" t="str">
        <f t="shared" si="0"/>
        <v xml:space="preserve"> </v>
      </c>
      <c r="F17" s="130"/>
      <c r="H17" s="143">
        <f>IF(F16&gt;1,(F17-1)*10,0)</f>
        <v>0</v>
      </c>
    </row>
    <row r="18" spans="2:8" ht="20.7" customHeight="1" thickBot="1" x14ac:dyDescent="0.4">
      <c r="B18" s="192" t="s">
        <v>139</v>
      </c>
      <c r="C18" s="193" t="s">
        <v>178</v>
      </c>
      <c r="D18" s="194"/>
      <c r="E18" s="120" t="str">
        <f t="shared" si="0"/>
        <v xml:space="preserve"> </v>
      </c>
      <c r="F18" s="130"/>
      <c r="H18" s="143">
        <f>(F18-1)*30</f>
        <v>-30</v>
      </c>
    </row>
    <row r="19" spans="2:8" ht="20.7" customHeight="1" thickBot="1" x14ac:dyDescent="0.4">
      <c r="B19" s="158" t="s">
        <v>140</v>
      </c>
      <c r="C19" s="144" t="s">
        <v>179</v>
      </c>
      <c r="D19" s="141"/>
      <c r="E19" s="120" t="str">
        <f t="shared" si="0"/>
        <v xml:space="preserve"> </v>
      </c>
      <c r="F19" s="130"/>
      <c r="H19" s="143">
        <f>(F19-1)*10</f>
        <v>-10</v>
      </c>
    </row>
    <row r="20" spans="2:8" ht="20.7" customHeight="1" thickBot="1" x14ac:dyDescent="0.4">
      <c r="B20" s="159"/>
      <c r="C20" s="150" t="s">
        <v>180</v>
      </c>
      <c r="D20" s="151"/>
      <c r="E20" s="120" t="str">
        <f t="shared" si="0"/>
        <v xml:space="preserve"> </v>
      </c>
      <c r="F20" s="130"/>
      <c r="H20" s="143">
        <f>(F20-1)*10</f>
        <v>-10</v>
      </c>
    </row>
    <row r="21" spans="2:8" ht="20.7" customHeight="1" thickBot="1" x14ac:dyDescent="0.4">
      <c r="B21" s="160"/>
      <c r="C21" s="149" t="s">
        <v>181</v>
      </c>
      <c r="D21" s="148"/>
      <c r="E21" s="120" t="str">
        <f t="shared" si="0"/>
        <v xml:space="preserve"> </v>
      </c>
      <c r="F21" s="130"/>
      <c r="G21" s="131"/>
      <c r="H21" s="143">
        <f>(F21-1)*10</f>
        <v>-10</v>
      </c>
    </row>
    <row r="22" spans="2:8" ht="20.7" customHeight="1" thickBot="1" x14ac:dyDescent="0.4">
      <c r="B22" s="192" t="s">
        <v>141</v>
      </c>
      <c r="C22" s="193" t="s">
        <v>182</v>
      </c>
      <c r="D22" s="194"/>
      <c r="E22" s="120" t="str">
        <f t="shared" si="0"/>
        <v xml:space="preserve"> </v>
      </c>
      <c r="F22" s="130"/>
      <c r="H22" s="143">
        <f>(F22-1)*10</f>
        <v>-10</v>
      </c>
    </row>
    <row r="23" spans="2:8" ht="20.7" customHeight="1" thickBot="1" x14ac:dyDescent="0.4">
      <c r="B23" s="198"/>
      <c r="C23" s="205" t="s">
        <v>183</v>
      </c>
      <c r="D23" s="200"/>
      <c r="E23" s="120" t="str">
        <f t="shared" si="0"/>
        <v xml:space="preserve"> </v>
      </c>
      <c r="F23" s="130"/>
      <c r="H23" s="143">
        <f>(F23-1)*10</f>
        <v>-10</v>
      </c>
    </row>
    <row r="24" spans="2:8" ht="20.7" customHeight="1" thickBot="1" x14ac:dyDescent="0.4">
      <c r="B24" s="156" t="s">
        <v>142</v>
      </c>
      <c r="C24" s="144" t="s">
        <v>184</v>
      </c>
      <c r="D24" s="141"/>
      <c r="E24" s="120" t="str">
        <f t="shared" si="0"/>
        <v xml:space="preserve"> </v>
      </c>
      <c r="F24" s="130"/>
      <c r="H24" s="143">
        <f>(F24-1)*20</f>
        <v>-20</v>
      </c>
    </row>
    <row r="25" spans="2:8" ht="20.7" customHeight="1" thickBot="1" x14ac:dyDescent="0.4">
      <c r="B25" s="192" t="s">
        <v>143</v>
      </c>
      <c r="C25" s="193" t="s">
        <v>185</v>
      </c>
      <c r="D25" s="194"/>
      <c r="E25" s="120" t="str">
        <f t="shared" si="0"/>
        <v xml:space="preserve"> </v>
      </c>
      <c r="F25" s="130"/>
      <c r="H25" s="143">
        <f>(F25-1)*20</f>
        <v>-20</v>
      </c>
    </row>
    <row r="26" spans="2:8" ht="20.7" customHeight="1" thickBot="1" x14ac:dyDescent="0.4">
      <c r="B26" s="198"/>
      <c r="C26" s="205" t="s">
        <v>186</v>
      </c>
      <c r="D26" s="200"/>
      <c r="E26" s="120" t="str">
        <f t="shared" ref="E26" si="1">IF(F26=""," ",IF(H26=10000," ",""))</f>
        <v xml:space="preserve"> </v>
      </c>
      <c r="F26" s="130"/>
      <c r="H26" s="143">
        <f>(F26-1)*10</f>
        <v>-10</v>
      </c>
    </row>
    <row r="27" spans="2:8" thickBot="1" x14ac:dyDescent="0.4">
      <c r="B27" s="156" t="s">
        <v>144</v>
      </c>
      <c r="C27" s="157" t="s">
        <v>187</v>
      </c>
      <c r="D27" s="141"/>
      <c r="E27" s="120" t="str">
        <f t="shared" si="0"/>
        <v xml:space="preserve"> </v>
      </c>
      <c r="F27" s="130"/>
      <c r="H27" s="143">
        <f>(F27-1)*30</f>
        <v>-30</v>
      </c>
    </row>
    <row r="28" spans="2:8" ht="20.7" customHeight="1" thickBot="1" x14ac:dyDescent="0.4">
      <c r="B28" s="201" t="s">
        <v>145</v>
      </c>
      <c r="C28" s="193" t="s">
        <v>188</v>
      </c>
      <c r="D28" s="194"/>
      <c r="E28" s="120" t="str">
        <f t="shared" ref="E28" si="2">IF(F28=""," ",IF(H28=10000," ",""))</f>
        <v xml:space="preserve"> </v>
      </c>
      <c r="F28" s="130"/>
      <c r="H28" s="143">
        <f>(F28-1)*5</f>
        <v>-5</v>
      </c>
    </row>
    <row r="29" spans="2:8" ht="20.7" customHeight="1" thickBot="1" x14ac:dyDescent="0.4">
      <c r="B29" s="203"/>
      <c r="C29" s="205" t="s">
        <v>193</v>
      </c>
      <c r="D29" s="200"/>
      <c r="E29" s="120" t="str">
        <f t="shared" si="0"/>
        <v xml:space="preserve"> </v>
      </c>
      <c r="F29" s="130"/>
      <c r="H29" s="143">
        <f>IF(F29&gt;F28,(F28-1)*5,(F29-1)*5)</f>
        <v>-5</v>
      </c>
    </row>
    <row r="30" spans="2:8" ht="20.7" customHeight="1" thickBot="1" x14ac:dyDescent="0.4">
      <c r="B30" s="158" t="s">
        <v>146</v>
      </c>
      <c r="C30" s="144" t="s">
        <v>189</v>
      </c>
      <c r="D30" s="141"/>
      <c r="E30" s="120" t="str">
        <f t="shared" ref="E30:E31" si="3">IF(F30=""," ",IF(H30=10000," ",""))</f>
        <v xml:space="preserve"> </v>
      </c>
      <c r="F30" s="130"/>
      <c r="H30" s="143">
        <f>(F30-1)*10</f>
        <v>-10</v>
      </c>
    </row>
    <row r="31" spans="2:8" ht="20.7" customHeight="1" thickBot="1" x14ac:dyDescent="0.4">
      <c r="B31" s="159"/>
      <c r="C31" s="153" t="s">
        <v>190</v>
      </c>
      <c r="D31" s="152"/>
      <c r="E31" s="120" t="str">
        <f t="shared" si="3"/>
        <v xml:space="preserve"> </v>
      </c>
      <c r="F31" s="130"/>
      <c r="H31" s="143">
        <f>(F31-1)*10</f>
        <v>-10</v>
      </c>
    </row>
    <row r="32" spans="2:8" ht="20.7" customHeight="1" thickBot="1" x14ac:dyDescent="0.4">
      <c r="B32" s="159"/>
      <c r="C32" s="153" t="s">
        <v>191</v>
      </c>
      <c r="D32" s="152"/>
      <c r="E32" s="120" t="str">
        <f t="shared" si="0"/>
        <v xml:space="preserve"> </v>
      </c>
      <c r="F32" s="130"/>
      <c r="H32" s="143">
        <f>(F32-1)*10</f>
        <v>-10</v>
      </c>
    </row>
    <row r="33" spans="2:8" ht="20.7" customHeight="1" thickBot="1" x14ac:dyDescent="0.4">
      <c r="B33" s="160"/>
      <c r="C33" s="149" t="s">
        <v>200</v>
      </c>
      <c r="D33" s="148"/>
      <c r="E33" s="120" t="str">
        <f t="shared" si="0"/>
        <v xml:space="preserve"> </v>
      </c>
      <c r="F33" s="130"/>
      <c r="H33" s="143">
        <f>IF(AND(F30&gt;1,F33=1),10,IF(AND(F31&gt;1,F33=2),10,IF(AND(F32&gt;1,F33=3),10,0)))</f>
        <v>0</v>
      </c>
    </row>
    <row r="34" spans="2:8" ht="20.7" customHeight="1" thickBot="1" x14ac:dyDescent="0.4">
      <c r="B34" s="206" t="s">
        <v>131</v>
      </c>
      <c r="C34" s="208" t="s">
        <v>202</v>
      </c>
      <c r="D34" s="207"/>
      <c r="E34" s="120" t="str">
        <f t="shared" si="0"/>
        <v xml:space="preserve"> </v>
      </c>
      <c r="F34" s="130"/>
      <c r="H34" s="143">
        <f>IF(OR(F34=7,F34=6),50,IF(F34=5,35,IF(F34=4,25,IF(F34=3,15,IF(F34=2,10,IF(F34=1,0,IF(F34="",0)))))))</f>
        <v>0</v>
      </c>
    </row>
    <row r="35" spans="2:8" ht="24" customHeight="1" thickBot="1" x14ac:dyDescent="0.55000000000000004">
      <c r="B35" s="122"/>
      <c r="C35" s="123"/>
      <c r="D35" s="124" t="s">
        <v>4</v>
      </c>
      <c r="E35" s="125">
        <f>COUNTIF(E4:E34," ")</f>
        <v>31</v>
      </c>
      <c r="F35" s="126"/>
      <c r="G35" s="127" t="str">
        <f>IF(E35&gt;0,"Missing Responses",IF(SUM(H4:H34)&gt;1000,"Error",SUM(H4:H34)))</f>
        <v>Missing Responses</v>
      </c>
    </row>
    <row r="49" spans="3:3" x14ac:dyDescent="0.4">
      <c r="C49" s="135" t="s">
        <v>148</v>
      </c>
    </row>
    <row r="50" spans="3:3" x14ac:dyDescent="0.4">
      <c r="C50" s="135" t="s">
        <v>148</v>
      </c>
    </row>
    <row r="51" spans="3:3" x14ac:dyDescent="0.4">
      <c r="C51" s="135" t="s">
        <v>148</v>
      </c>
    </row>
    <row r="52" spans="3:3" x14ac:dyDescent="0.4">
      <c r="C52" s="135" t="s">
        <v>148</v>
      </c>
    </row>
    <row r="53" spans="3:3" x14ac:dyDescent="0.4">
      <c r="C53" s="135" t="s">
        <v>148</v>
      </c>
    </row>
    <row r="54" spans="3:3" x14ac:dyDescent="0.4">
      <c r="C54" s="135" t="s">
        <v>148</v>
      </c>
    </row>
    <row r="55" spans="3:3" x14ac:dyDescent="0.4">
      <c r="C55" s="135" t="s">
        <v>148</v>
      </c>
    </row>
    <row r="56" spans="3:3" x14ac:dyDescent="0.4">
      <c r="C56" s="135" t="s">
        <v>148</v>
      </c>
    </row>
    <row r="57" spans="3:3" x14ac:dyDescent="0.4">
      <c r="C57" s="135" t="s">
        <v>148</v>
      </c>
    </row>
    <row r="58" spans="3:3" x14ac:dyDescent="0.4">
      <c r="C58" s="135" t="s">
        <v>148</v>
      </c>
    </row>
    <row r="59" spans="3:3" x14ac:dyDescent="0.4">
      <c r="C59" s="135" t="s">
        <v>148</v>
      </c>
    </row>
    <row r="60" spans="3:3" x14ac:dyDescent="0.4">
      <c r="C60" s="135" t="s">
        <v>148</v>
      </c>
    </row>
    <row r="61" spans="3:3" x14ac:dyDescent="0.4">
      <c r="C61" s="135" t="s">
        <v>148</v>
      </c>
    </row>
    <row r="62" spans="3:3" x14ac:dyDescent="0.4">
      <c r="C62" s="135" t="s">
        <v>148</v>
      </c>
    </row>
    <row r="63" spans="3:3" x14ac:dyDescent="0.4">
      <c r="C63" s="135" t="s">
        <v>148</v>
      </c>
    </row>
    <row r="64" spans="3:3" x14ac:dyDescent="0.4">
      <c r="C64" s="135" t="s">
        <v>148</v>
      </c>
    </row>
    <row r="65" spans="3:3" x14ac:dyDescent="0.4">
      <c r="C65" s="135" t="s">
        <v>148</v>
      </c>
    </row>
    <row r="66" spans="3:3" x14ac:dyDescent="0.4">
      <c r="C66" s="135" t="s">
        <v>148</v>
      </c>
    </row>
    <row r="67" spans="3:3" x14ac:dyDescent="0.4">
      <c r="C67" s="135" t="s">
        <v>148</v>
      </c>
    </row>
    <row r="68" spans="3:3" x14ac:dyDescent="0.4">
      <c r="C68" s="135" t="s">
        <v>148</v>
      </c>
    </row>
    <row r="69" spans="3:3" x14ac:dyDescent="0.4">
      <c r="C69" s="135" t="s">
        <v>148</v>
      </c>
    </row>
    <row r="70" spans="3:3" x14ac:dyDescent="0.4">
      <c r="C70" s="135" t="s">
        <v>148</v>
      </c>
    </row>
    <row r="71" spans="3:3" x14ac:dyDescent="0.4">
      <c r="C71" s="135" t="s">
        <v>148</v>
      </c>
    </row>
    <row r="72" spans="3:3" x14ac:dyDescent="0.4">
      <c r="C72" s="135" t="s">
        <v>148</v>
      </c>
    </row>
    <row r="73" spans="3:3" x14ac:dyDescent="0.4">
      <c r="C73" s="135" t="s">
        <v>148</v>
      </c>
    </row>
    <row r="74" spans="3:3" x14ac:dyDescent="0.4">
      <c r="C74" s="135" t="s">
        <v>148</v>
      </c>
    </row>
    <row r="75" spans="3:3" x14ac:dyDescent="0.4">
      <c r="C75" s="135" t="s">
        <v>148</v>
      </c>
    </row>
    <row r="76" spans="3:3" x14ac:dyDescent="0.4">
      <c r="C76" s="135" t="s">
        <v>148</v>
      </c>
    </row>
    <row r="77" spans="3:3" x14ac:dyDescent="0.4">
      <c r="C77" s="135" t="s">
        <v>148</v>
      </c>
    </row>
    <row r="78" spans="3:3" x14ac:dyDescent="0.4">
      <c r="C78" s="135" t="s">
        <v>148</v>
      </c>
    </row>
    <row r="79" spans="3:3" x14ac:dyDescent="0.4">
      <c r="C79" s="135" t="s">
        <v>148</v>
      </c>
    </row>
    <row r="80" spans="3:3" x14ac:dyDescent="0.4">
      <c r="C80" s="135" t="s">
        <v>148</v>
      </c>
    </row>
    <row r="81" spans="3:3" x14ac:dyDescent="0.4">
      <c r="C81" s="135" t="s">
        <v>148</v>
      </c>
    </row>
    <row r="82" spans="3:3" x14ac:dyDescent="0.4">
      <c r="C82" s="135" t="s">
        <v>148</v>
      </c>
    </row>
    <row r="83" spans="3:3" x14ac:dyDescent="0.4">
      <c r="C83" s="135" t="s">
        <v>148</v>
      </c>
    </row>
    <row r="84" spans="3:3" x14ac:dyDescent="0.4">
      <c r="C84" s="135" t="s">
        <v>148</v>
      </c>
    </row>
    <row r="85" spans="3:3" x14ac:dyDescent="0.4">
      <c r="C85" s="135" t="s">
        <v>148</v>
      </c>
    </row>
    <row r="86" spans="3:3" x14ac:dyDescent="0.4">
      <c r="C86" s="135" t="s">
        <v>148</v>
      </c>
    </row>
    <row r="87" spans="3:3" x14ac:dyDescent="0.4">
      <c r="C87" s="135" t="s">
        <v>148</v>
      </c>
    </row>
    <row r="88" spans="3:3" x14ac:dyDescent="0.4">
      <c r="C88" s="135" t="s">
        <v>148</v>
      </c>
    </row>
    <row r="89" spans="3:3" x14ac:dyDescent="0.4">
      <c r="C89" s="135" t="s">
        <v>148</v>
      </c>
    </row>
    <row r="90" spans="3:3" x14ac:dyDescent="0.4">
      <c r="C90" s="135" t="s">
        <v>148</v>
      </c>
    </row>
    <row r="91" spans="3:3" x14ac:dyDescent="0.4">
      <c r="C91" s="135" t="s">
        <v>148</v>
      </c>
    </row>
    <row r="92" spans="3:3" x14ac:dyDescent="0.4">
      <c r="C92" s="135" t="s">
        <v>148</v>
      </c>
    </row>
    <row r="93" spans="3:3" x14ac:dyDescent="0.4">
      <c r="C93" s="135" t="s">
        <v>148</v>
      </c>
    </row>
    <row r="94" spans="3:3" x14ac:dyDescent="0.4">
      <c r="C94" s="135" t="s">
        <v>148</v>
      </c>
    </row>
    <row r="95" spans="3:3" x14ac:dyDescent="0.4">
      <c r="C95" s="135" t="s">
        <v>148</v>
      </c>
    </row>
    <row r="96" spans="3:3" x14ac:dyDescent="0.4">
      <c r="C96" s="135" t="s">
        <v>148</v>
      </c>
    </row>
    <row r="97" spans="3:3" x14ac:dyDescent="0.4">
      <c r="C97" s="135" t="s">
        <v>148</v>
      </c>
    </row>
    <row r="98" spans="3:3" x14ac:dyDescent="0.4">
      <c r="C98" s="135" t="s">
        <v>148</v>
      </c>
    </row>
    <row r="99" spans="3:3" x14ac:dyDescent="0.4">
      <c r="C99" s="135" t="s">
        <v>148</v>
      </c>
    </row>
    <row r="100" spans="3:3" x14ac:dyDescent="0.4">
      <c r="C100" s="135" t="s">
        <v>148</v>
      </c>
    </row>
    <row r="101" spans="3:3" x14ac:dyDescent="0.4">
      <c r="C101" s="135" t="s">
        <v>148</v>
      </c>
    </row>
    <row r="102" spans="3:3" x14ac:dyDescent="0.4">
      <c r="C102" s="135" t="s">
        <v>148</v>
      </c>
    </row>
    <row r="103" spans="3:3" x14ac:dyDescent="0.4">
      <c r="C103" s="135" t="s">
        <v>148</v>
      </c>
    </row>
    <row r="104" spans="3:3" x14ac:dyDescent="0.4">
      <c r="C104" s="135" t="s">
        <v>148</v>
      </c>
    </row>
    <row r="105" spans="3:3" x14ac:dyDescent="0.4">
      <c r="C105" s="135" t="s">
        <v>148</v>
      </c>
    </row>
    <row r="106" spans="3:3" x14ac:dyDescent="0.4">
      <c r="C106" s="135" t="s">
        <v>148</v>
      </c>
    </row>
    <row r="107" spans="3:3" x14ac:dyDescent="0.4">
      <c r="C107" s="135" t="s">
        <v>148</v>
      </c>
    </row>
    <row r="108" spans="3:3" x14ac:dyDescent="0.4">
      <c r="C108" s="135" t="s">
        <v>148</v>
      </c>
    </row>
    <row r="109" spans="3:3" x14ac:dyDescent="0.4">
      <c r="C109" s="135" t="s">
        <v>148</v>
      </c>
    </row>
    <row r="110" spans="3:3" x14ac:dyDescent="0.4">
      <c r="C110" s="135" t="s">
        <v>148</v>
      </c>
    </row>
    <row r="111" spans="3:3" x14ac:dyDescent="0.4">
      <c r="C111" s="135" t="s">
        <v>148</v>
      </c>
    </row>
    <row r="112" spans="3:3" x14ac:dyDescent="0.4">
      <c r="C112" s="135" t="s">
        <v>148</v>
      </c>
    </row>
    <row r="113" spans="3:3" x14ac:dyDescent="0.4">
      <c r="C113" s="135" t="s">
        <v>148</v>
      </c>
    </row>
    <row r="114" spans="3:3" x14ac:dyDescent="0.4">
      <c r="C114" s="135" t="s">
        <v>148</v>
      </c>
    </row>
    <row r="115" spans="3:3" x14ac:dyDescent="0.4">
      <c r="C115" s="135" t="s">
        <v>148</v>
      </c>
    </row>
    <row r="116" spans="3:3" x14ac:dyDescent="0.4">
      <c r="C116" s="135" t="s">
        <v>148</v>
      </c>
    </row>
    <row r="117" spans="3:3" x14ac:dyDescent="0.4">
      <c r="C117" s="135" t="s">
        <v>148</v>
      </c>
    </row>
    <row r="118" spans="3:3" x14ac:dyDescent="0.4">
      <c r="C118" s="135" t="s">
        <v>148</v>
      </c>
    </row>
    <row r="119" spans="3:3" x14ac:dyDescent="0.4">
      <c r="C119" s="135" t="s">
        <v>148</v>
      </c>
    </row>
    <row r="120" spans="3:3" x14ac:dyDescent="0.4">
      <c r="C120" s="135" t="s">
        <v>148</v>
      </c>
    </row>
    <row r="121" spans="3:3" x14ac:dyDescent="0.4">
      <c r="C121" s="135" t="s">
        <v>148</v>
      </c>
    </row>
    <row r="122" spans="3:3" x14ac:dyDescent="0.4">
      <c r="C122" s="135" t="s">
        <v>148</v>
      </c>
    </row>
    <row r="123" spans="3:3" x14ac:dyDescent="0.4">
      <c r="C123" s="135" t="s">
        <v>148</v>
      </c>
    </row>
    <row r="124" spans="3:3" x14ac:dyDescent="0.4">
      <c r="C124" s="135" t="s">
        <v>148</v>
      </c>
    </row>
    <row r="125" spans="3:3" x14ac:dyDescent="0.4">
      <c r="C125" s="135" t="s">
        <v>148</v>
      </c>
    </row>
  </sheetData>
  <mergeCells count="6">
    <mergeCell ref="B30:B33"/>
    <mergeCell ref="B2:F2"/>
    <mergeCell ref="B14:B15"/>
    <mergeCell ref="B16:B17"/>
    <mergeCell ref="B19:B21"/>
    <mergeCell ref="B28:B29"/>
  </mergeCells>
  <conditionalFormatting sqref="E34:E35 E4:F34">
    <cfRule type="cellIs" dxfId="4" priority="8" operator="between">
      <formula>0</formula>
      <formula>0</formula>
    </cfRule>
  </conditionalFormatting>
  <conditionalFormatting sqref="E37:F1048576 F35 E34:E35 E3:F34">
    <cfRule type="containsText" dxfId="3" priority="6" operator="containsText" text=" ">
      <formula>NOT(ISERROR(SEARCH(" ",E3)))</formula>
    </cfRule>
    <cfRule type="containsText" dxfId="2" priority="7" operator="containsText" text=".">
      <formula>NOT(ISERROR(SEARCH(".",E3)))</formula>
    </cfRule>
  </conditionalFormatting>
  <conditionalFormatting sqref="F35">
    <cfRule type="cellIs" dxfId="1" priority="5" operator="between">
      <formula>1</formula>
      <formula>100</formula>
    </cfRule>
  </conditionalFormatting>
  <conditionalFormatting sqref="G9">
    <cfRule type="containsText" dxfId="0" priority="2" operator="containsText" text="Condition not possible">
      <formula>NOT(ISERROR(SEARCH("Condition not possible",G9)))</formula>
    </cfRule>
  </conditionalFormatting>
  <dataValidations disablePrompts="1" count="1">
    <dataValidation type="list" allowBlank="1" showInputMessage="1" showErrorMessage="1" sqref="F46:F1048576" xr:uid="{745BAE03-D6C5-43EF-B8EB-62166F1593C4}">
      <formula1>"Yes,No"</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020" r:id="rId4" name="Option Button 108">
              <controlPr defaultSize="0" autoFill="0" autoLine="0" autoPict="0">
                <anchor moveWithCells="1">
                  <from>
                    <xdr:col>3</xdr:col>
                    <xdr:colOff>76200</xdr:colOff>
                    <xdr:row>3</xdr:row>
                    <xdr:rowOff>83820</xdr:rowOff>
                  </from>
                  <to>
                    <xdr:col>3</xdr:col>
                    <xdr:colOff>556260</xdr:colOff>
                    <xdr:row>3</xdr:row>
                    <xdr:rowOff>297180</xdr:rowOff>
                  </to>
                </anchor>
              </controlPr>
            </control>
          </mc:Choice>
        </mc:AlternateContent>
        <mc:AlternateContent xmlns:mc="http://schemas.openxmlformats.org/markup-compatibility/2006">
          <mc:Choice Requires="x14">
            <control shapeId="39022" r:id="rId5" name="Option Button 110">
              <controlPr defaultSize="0" autoFill="0" autoLine="0" autoPict="0" altText="No">
                <anchor moveWithCells="1">
                  <from>
                    <xdr:col>3</xdr:col>
                    <xdr:colOff>533400</xdr:colOff>
                    <xdr:row>3</xdr:row>
                    <xdr:rowOff>83820</xdr:rowOff>
                  </from>
                  <to>
                    <xdr:col>3</xdr:col>
                    <xdr:colOff>1013460</xdr:colOff>
                    <xdr:row>3</xdr:row>
                    <xdr:rowOff>297180</xdr:rowOff>
                  </to>
                </anchor>
              </controlPr>
            </control>
          </mc:Choice>
        </mc:AlternateContent>
        <mc:AlternateContent xmlns:mc="http://schemas.openxmlformats.org/markup-compatibility/2006">
          <mc:Choice Requires="x14">
            <control shapeId="39491" r:id="rId6" name="Inspection_Group">
              <controlPr defaultSize="0" autoFill="0" autoPict="0">
                <anchor moveWithCells="1">
                  <from>
                    <xdr:col>3</xdr:col>
                    <xdr:colOff>0</xdr:colOff>
                    <xdr:row>3</xdr:row>
                    <xdr:rowOff>60960</xdr:rowOff>
                  </from>
                  <to>
                    <xdr:col>3</xdr:col>
                    <xdr:colOff>1143000</xdr:colOff>
                    <xdr:row>3</xdr:row>
                    <xdr:rowOff>312420</xdr:rowOff>
                  </to>
                </anchor>
              </controlPr>
            </control>
          </mc:Choice>
        </mc:AlternateContent>
        <mc:AlternateContent xmlns:mc="http://schemas.openxmlformats.org/markup-compatibility/2006">
          <mc:Choice Requires="x14">
            <control shapeId="39498" r:id="rId7" name="Option Button 586">
              <controlPr defaultSize="0" autoFill="0" autoLine="0" autoPict="0">
                <anchor moveWithCells="1">
                  <from>
                    <xdr:col>3</xdr:col>
                    <xdr:colOff>76200</xdr:colOff>
                    <xdr:row>5</xdr:row>
                    <xdr:rowOff>68580</xdr:rowOff>
                  </from>
                  <to>
                    <xdr:col>3</xdr:col>
                    <xdr:colOff>556260</xdr:colOff>
                    <xdr:row>5</xdr:row>
                    <xdr:rowOff>297180</xdr:rowOff>
                  </to>
                </anchor>
              </controlPr>
            </control>
          </mc:Choice>
        </mc:AlternateContent>
        <mc:AlternateContent xmlns:mc="http://schemas.openxmlformats.org/markup-compatibility/2006">
          <mc:Choice Requires="x14">
            <control shapeId="39499" r:id="rId8" name="Option Button 587">
              <controlPr defaultSize="0" autoFill="0" autoLine="0" autoPict="0" altText="No">
                <anchor moveWithCells="1">
                  <from>
                    <xdr:col>3</xdr:col>
                    <xdr:colOff>533400</xdr:colOff>
                    <xdr:row>5</xdr:row>
                    <xdr:rowOff>68580</xdr:rowOff>
                  </from>
                  <to>
                    <xdr:col>3</xdr:col>
                    <xdr:colOff>1013460</xdr:colOff>
                    <xdr:row>5</xdr:row>
                    <xdr:rowOff>297180</xdr:rowOff>
                  </to>
                </anchor>
              </controlPr>
            </control>
          </mc:Choice>
        </mc:AlternateContent>
        <mc:AlternateContent xmlns:mc="http://schemas.openxmlformats.org/markup-compatibility/2006">
          <mc:Choice Requires="x14">
            <control shapeId="39500" r:id="rId9" name="M1b_Group">
              <controlPr defaultSize="0" autoFill="0" autoPict="0">
                <anchor moveWithCells="1">
                  <from>
                    <xdr:col>3</xdr:col>
                    <xdr:colOff>0</xdr:colOff>
                    <xdr:row>5</xdr:row>
                    <xdr:rowOff>60960</xdr:rowOff>
                  </from>
                  <to>
                    <xdr:col>3</xdr:col>
                    <xdr:colOff>1143000</xdr:colOff>
                    <xdr:row>5</xdr:row>
                    <xdr:rowOff>327660</xdr:rowOff>
                  </to>
                </anchor>
              </controlPr>
            </control>
          </mc:Choice>
        </mc:AlternateContent>
        <mc:AlternateContent xmlns:mc="http://schemas.openxmlformats.org/markup-compatibility/2006">
          <mc:Choice Requires="x14">
            <control shapeId="39513" r:id="rId10" name="Option Button 601">
              <controlPr defaultSize="0" autoFill="0" autoLine="0" autoPict="0">
                <anchor moveWithCells="1">
                  <from>
                    <xdr:col>3</xdr:col>
                    <xdr:colOff>76200</xdr:colOff>
                    <xdr:row>7</xdr:row>
                    <xdr:rowOff>30480</xdr:rowOff>
                  </from>
                  <to>
                    <xdr:col>3</xdr:col>
                    <xdr:colOff>556260</xdr:colOff>
                    <xdr:row>7</xdr:row>
                    <xdr:rowOff>251460</xdr:rowOff>
                  </to>
                </anchor>
              </controlPr>
            </control>
          </mc:Choice>
        </mc:AlternateContent>
        <mc:AlternateContent xmlns:mc="http://schemas.openxmlformats.org/markup-compatibility/2006">
          <mc:Choice Requires="x14">
            <control shapeId="39514" r:id="rId11" name="Option Button 602">
              <controlPr defaultSize="0" autoFill="0" autoLine="0" autoPict="0" altText="No">
                <anchor moveWithCells="1">
                  <from>
                    <xdr:col>3</xdr:col>
                    <xdr:colOff>525780</xdr:colOff>
                    <xdr:row>7</xdr:row>
                    <xdr:rowOff>30480</xdr:rowOff>
                  </from>
                  <to>
                    <xdr:col>3</xdr:col>
                    <xdr:colOff>1013460</xdr:colOff>
                    <xdr:row>7</xdr:row>
                    <xdr:rowOff>251460</xdr:rowOff>
                  </to>
                </anchor>
              </controlPr>
            </control>
          </mc:Choice>
        </mc:AlternateContent>
        <mc:AlternateContent xmlns:mc="http://schemas.openxmlformats.org/markup-compatibility/2006">
          <mc:Choice Requires="x14">
            <control shapeId="39515" r:id="rId12" name="M3a_Group">
              <controlPr defaultSize="0" autoFill="0" autoPict="0">
                <anchor moveWithCells="1">
                  <from>
                    <xdr:col>3</xdr:col>
                    <xdr:colOff>0</xdr:colOff>
                    <xdr:row>7</xdr:row>
                    <xdr:rowOff>0</xdr:rowOff>
                  </from>
                  <to>
                    <xdr:col>3</xdr:col>
                    <xdr:colOff>1135380</xdr:colOff>
                    <xdr:row>8</xdr:row>
                    <xdr:rowOff>0</xdr:rowOff>
                  </to>
                </anchor>
              </controlPr>
            </control>
          </mc:Choice>
        </mc:AlternateContent>
        <mc:AlternateContent xmlns:mc="http://schemas.openxmlformats.org/markup-compatibility/2006">
          <mc:Choice Requires="x14">
            <control shapeId="39525" r:id="rId13" name="Option Button 613">
              <controlPr defaultSize="0" autoFill="0" autoLine="0" autoPict="0">
                <anchor moveWithCells="1">
                  <from>
                    <xdr:col>3</xdr:col>
                    <xdr:colOff>76200</xdr:colOff>
                    <xdr:row>10</xdr:row>
                    <xdr:rowOff>30480</xdr:rowOff>
                  </from>
                  <to>
                    <xdr:col>3</xdr:col>
                    <xdr:colOff>556260</xdr:colOff>
                    <xdr:row>10</xdr:row>
                    <xdr:rowOff>251460</xdr:rowOff>
                  </to>
                </anchor>
              </controlPr>
            </control>
          </mc:Choice>
        </mc:AlternateContent>
        <mc:AlternateContent xmlns:mc="http://schemas.openxmlformats.org/markup-compatibility/2006">
          <mc:Choice Requires="x14">
            <control shapeId="39526" r:id="rId14" name="Option Button 614">
              <controlPr defaultSize="0" autoFill="0" autoLine="0" autoPict="0" altText="No">
                <anchor moveWithCells="1">
                  <from>
                    <xdr:col>3</xdr:col>
                    <xdr:colOff>533400</xdr:colOff>
                    <xdr:row>10</xdr:row>
                    <xdr:rowOff>30480</xdr:rowOff>
                  </from>
                  <to>
                    <xdr:col>3</xdr:col>
                    <xdr:colOff>1013460</xdr:colOff>
                    <xdr:row>10</xdr:row>
                    <xdr:rowOff>251460</xdr:rowOff>
                  </to>
                </anchor>
              </controlPr>
            </control>
          </mc:Choice>
        </mc:AlternateContent>
        <mc:AlternateContent xmlns:mc="http://schemas.openxmlformats.org/markup-compatibility/2006">
          <mc:Choice Requires="x14">
            <control shapeId="39527" r:id="rId15" name="M4b_Group">
              <controlPr defaultSize="0" autoFill="0" autoPict="0">
                <anchor moveWithCells="1">
                  <from>
                    <xdr:col>3</xdr:col>
                    <xdr:colOff>0</xdr:colOff>
                    <xdr:row>10</xdr:row>
                    <xdr:rowOff>0</xdr:rowOff>
                  </from>
                  <to>
                    <xdr:col>3</xdr:col>
                    <xdr:colOff>1143000</xdr:colOff>
                    <xdr:row>11</xdr:row>
                    <xdr:rowOff>0</xdr:rowOff>
                  </to>
                </anchor>
              </controlPr>
            </control>
          </mc:Choice>
        </mc:AlternateContent>
        <mc:AlternateContent xmlns:mc="http://schemas.openxmlformats.org/markup-compatibility/2006">
          <mc:Choice Requires="x14">
            <control shapeId="39528" r:id="rId16" name="Option Button 616">
              <controlPr defaultSize="0" autoFill="0" autoLine="0" autoPict="0">
                <anchor moveWithCells="1">
                  <from>
                    <xdr:col>3</xdr:col>
                    <xdr:colOff>76200</xdr:colOff>
                    <xdr:row>11</xdr:row>
                    <xdr:rowOff>30480</xdr:rowOff>
                  </from>
                  <to>
                    <xdr:col>3</xdr:col>
                    <xdr:colOff>556260</xdr:colOff>
                    <xdr:row>11</xdr:row>
                    <xdr:rowOff>251460</xdr:rowOff>
                  </to>
                </anchor>
              </controlPr>
            </control>
          </mc:Choice>
        </mc:AlternateContent>
        <mc:AlternateContent xmlns:mc="http://schemas.openxmlformats.org/markup-compatibility/2006">
          <mc:Choice Requires="x14">
            <control shapeId="39529" r:id="rId17" name="Option Button 617">
              <controlPr defaultSize="0" autoFill="0" autoLine="0" autoPict="0" altText="No">
                <anchor moveWithCells="1">
                  <from>
                    <xdr:col>3</xdr:col>
                    <xdr:colOff>525780</xdr:colOff>
                    <xdr:row>11</xdr:row>
                    <xdr:rowOff>30480</xdr:rowOff>
                  </from>
                  <to>
                    <xdr:col>3</xdr:col>
                    <xdr:colOff>1013460</xdr:colOff>
                    <xdr:row>11</xdr:row>
                    <xdr:rowOff>251460</xdr:rowOff>
                  </to>
                </anchor>
              </controlPr>
            </control>
          </mc:Choice>
        </mc:AlternateContent>
        <mc:AlternateContent xmlns:mc="http://schemas.openxmlformats.org/markup-compatibility/2006">
          <mc:Choice Requires="x14">
            <control shapeId="39530" r:id="rId18" name="M4c_Group">
              <controlPr defaultSize="0" autoFill="0" autoPict="0">
                <anchor moveWithCells="1">
                  <from>
                    <xdr:col>3</xdr:col>
                    <xdr:colOff>0</xdr:colOff>
                    <xdr:row>11</xdr:row>
                    <xdr:rowOff>0</xdr:rowOff>
                  </from>
                  <to>
                    <xdr:col>3</xdr:col>
                    <xdr:colOff>1135380</xdr:colOff>
                    <xdr:row>11</xdr:row>
                    <xdr:rowOff>259080</xdr:rowOff>
                  </to>
                </anchor>
              </controlPr>
            </control>
          </mc:Choice>
        </mc:AlternateContent>
        <mc:AlternateContent xmlns:mc="http://schemas.openxmlformats.org/markup-compatibility/2006">
          <mc:Choice Requires="x14">
            <control shapeId="39537" r:id="rId19" name="Option Button 625">
              <controlPr defaultSize="0" autoFill="0" autoLine="0" autoPict="0">
                <anchor moveWithCells="1">
                  <from>
                    <xdr:col>3</xdr:col>
                    <xdr:colOff>76200</xdr:colOff>
                    <xdr:row>15</xdr:row>
                    <xdr:rowOff>30480</xdr:rowOff>
                  </from>
                  <to>
                    <xdr:col>3</xdr:col>
                    <xdr:colOff>556260</xdr:colOff>
                    <xdr:row>15</xdr:row>
                    <xdr:rowOff>251460</xdr:rowOff>
                  </to>
                </anchor>
              </controlPr>
            </control>
          </mc:Choice>
        </mc:AlternateContent>
        <mc:AlternateContent xmlns:mc="http://schemas.openxmlformats.org/markup-compatibility/2006">
          <mc:Choice Requires="x14">
            <control shapeId="39538" r:id="rId20" name="Option Button 626">
              <controlPr defaultSize="0" autoFill="0" autoLine="0" autoPict="0" altText="No">
                <anchor moveWithCells="1">
                  <from>
                    <xdr:col>3</xdr:col>
                    <xdr:colOff>525780</xdr:colOff>
                    <xdr:row>15</xdr:row>
                    <xdr:rowOff>30480</xdr:rowOff>
                  </from>
                  <to>
                    <xdr:col>3</xdr:col>
                    <xdr:colOff>1013460</xdr:colOff>
                    <xdr:row>15</xdr:row>
                    <xdr:rowOff>251460</xdr:rowOff>
                  </to>
                </anchor>
              </controlPr>
            </control>
          </mc:Choice>
        </mc:AlternateContent>
        <mc:AlternateContent xmlns:mc="http://schemas.openxmlformats.org/markup-compatibility/2006">
          <mc:Choice Requires="x14">
            <control shapeId="39539" r:id="rId21" name="M7a_Group">
              <controlPr defaultSize="0" autoFill="0" autoPict="0">
                <anchor moveWithCells="1">
                  <from>
                    <xdr:col>3</xdr:col>
                    <xdr:colOff>0</xdr:colOff>
                    <xdr:row>15</xdr:row>
                    <xdr:rowOff>0</xdr:rowOff>
                  </from>
                  <to>
                    <xdr:col>3</xdr:col>
                    <xdr:colOff>1135380</xdr:colOff>
                    <xdr:row>16</xdr:row>
                    <xdr:rowOff>0</xdr:rowOff>
                  </to>
                </anchor>
              </controlPr>
            </control>
          </mc:Choice>
        </mc:AlternateContent>
        <mc:AlternateContent xmlns:mc="http://schemas.openxmlformats.org/markup-compatibility/2006">
          <mc:Choice Requires="x14">
            <control shapeId="39540" r:id="rId22" name="Option Button 628">
              <controlPr defaultSize="0" autoFill="0" autoLine="0" autoPict="0">
                <anchor moveWithCells="1">
                  <from>
                    <xdr:col>3</xdr:col>
                    <xdr:colOff>76200</xdr:colOff>
                    <xdr:row>17</xdr:row>
                    <xdr:rowOff>22860</xdr:rowOff>
                  </from>
                  <to>
                    <xdr:col>3</xdr:col>
                    <xdr:colOff>556260</xdr:colOff>
                    <xdr:row>17</xdr:row>
                    <xdr:rowOff>251460</xdr:rowOff>
                  </to>
                </anchor>
              </controlPr>
            </control>
          </mc:Choice>
        </mc:AlternateContent>
        <mc:AlternateContent xmlns:mc="http://schemas.openxmlformats.org/markup-compatibility/2006">
          <mc:Choice Requires="x14">
            <control shapeId="39541" r:id="rId23" name="Option Button 629">
              <controlPr defaultSize="0" autoFill="0" autoLine="0" autoPict="0">
                <anchor moveWithCells="1">
                  <from>
                    <xdr:col>3</xdr:col>
                    <xdr:colOff>525780</xdr:colOff>
                    <xdr:row>17</xdr:row>
                    <xdr:rowOff>22860</xdr:rowOff>
                  </from>
                  <to>
                    <xdr:col>3</xdr:col>
                    <xdr:colOff>1013460</xdr:colOff>
                    <xdr:row>17</xdr:row>
                    <xdr:rowOff>251460</xdr:rowOff>
                  </to>
                </anchor>
              </controlPr>
            </control>
          </mc:Choice>
        </mc:AlternateContent>
        <mc:AlternateContent xmlns:mc="http://schemas.openxmlformats.org/markup-compatibility/2006">
          <mc:Choice Requires="x14">
            <control shapeId="39544" r:id="rId24" name="M8_Group">
              <controlPr defaultSize="0" autoFill="0" autoPict="0">
                <anchor moveWithCells="1">
                  <from>
                    <xdr:col>3</xdr:col>
                    <xdr:colOff>22860</xdr:colOff>
                    <xdr:row>17</xdr:row>
                    <xdr:rowOff>22860</xdr:rowOff>
                  </from>
                  <to>
                    <xdr:col>3</xdr:col>
                    <xdr:colOff>2887980</xdr:colOff>
                    <xdr:row>18</xdr:row>
                    <xdr:rowOff>0</xdr:rowOff>
                  </to>
                </anchor>
              </controlPr>
            </control>
          </mc:Choice>
        </mc:AlternateContent>
        <mc:AlternateContent xmlns:mc="http://schemas.openxmlformats.org/markup-compatibility/2006">
          <mc:Choice Requires="x14">
            <control shapeId="39546" r:id="rId25" name="Option Button 634">
              <controlPr defaultSize="0" autoFill="0" autoLine="0" autoPict="0">
                <anchor moveWithCells="1">
                  <from>
                    <xdr:col>3</xdr:col>
                    <xdr:colOff>76200</xdr:colOff>
                    <xdr:row>18</xdr:row>
                    <xdr:rowOff>30480</xdr:rowOff>
                  </from>
                  <to>
                    <xdr:col>3</xdr:col>
                    <xdr:colOff>556260</xdr:colOff>
                    <xdr:row>18</xdr:row>
                    <xdr:rowOff>251460</xdr:rowOff>
                  </to>
                </anchor>
              </controlPr>
            </control>
          </mc:Choice>
        </mc:AlternateContent>
        <mc:AlternateContent xmlns:mc="http://schemas.openxmlformats.org/markup-compatibility/2006">
          <mc:Choice Requires="x14">
            <control shapeId="39547" r:id="rId26" name="Option Button 635">
              <controlPr defaultSize="0" autoFill="0" autoLine="0" autoPict="0" altText="No">
                <anchor moveWithCells="1">
                  <from>
                    <xdr:col>3</xdr:col>
                    <xdr:colOff>525780</xdr:colOff>
                    <xdr:row>18</xdr:row>
                    <xdr:rowOff>30480</xdr:rowOff>
                  </from>
                  <to>
                    <xdr:col>3</xdr:col>
                    <xdr:colOff>1013460</xdr:colOff>
                    <xdr:row>18</xdr:row>
                    <xdr:rowOff>251460</xdr:rowOff>
                  </to>
                </anchor>
              </controlPr>
            </control>
          </mc:Choice>
        </mc:AlternateContent>
        <mc:AlternateContent xmlns:mc="http://schemas.openxmlformats.org/markup-compatibility/2006">
          <mc:Choice Requires="x14">
            <control shapeId="39548" r:id="rId27" name="M9a_Group">
              <controlPr defaultSize="0" autoFill="0" autoPict="0">
                <anchor moveWithCells="1">
                  <from>
                    <xdr:col>3</xdr:col>
                    <xdr:colOff>0</xdr:colOff>
                    <xdr:row>18</xdr:row>
                    <xdr:rowOff>0</xdr:rowOff>
                  </from>
                  <to>
                    <xdr:col>3</xdr:col>
                    <xdr:colOff>1135380</xdr:colOff>
                    <xdr:row>19</xdr:row>
                    <xdr:rowOff>0</xdr:rowOff>
                  </to>
                </anchor>
              </controlPr>
            </control>
          </mc:Choice>
        </mc:AlternateContent>
        <mc:AlternateContent xmlns:mc="http://schemas.openxmlformats.org/markup-compatibility/2006">
          <mc:Choice Requires="x14">
            <control shapeId="39549" r:id="rId28" name="Option Button 637">
              <controlPr defaultSize="0" autoFill="0" autoLine="0" autoPict="0" macro="[0]!validateSeedCount">
                <anchor moveWithCells="1">
                  <from>
                    <xdr:col>3</xdr:col>
                    <xdr:colOff>76200</xdr:colOff>
                    <xdr:row>20</xdr:row>
                    <xdr:rowOff>30480</xdr:rowOff>
                  </from>
                  <to>
                    <xdr:col>3</xdr:col>
                    <xdr:colOff>556260</xdr:colOff>
                    <xdr:row>20</xdr:row>
                    <xdr:rowOff>251460</xdr:rowOff>
                  </to>
                </anchor>
              </controlPr>
            </control>
          </mc:Choice>
        </mc:AlternateContent>
        <mc:AlternateContent xmlns:mc="http://schemas.openxmlformats.org/markup-compatibility/2006">
          <mc:Choice Requires="x14">
            <control shapeId="39550" r:id="rId29" name="Option Button 638">
              <controlPr defaultSize="0" autoFill="0" autoLine="0" autoPict="0" macro="[0]!validateSeedCount" altText="No">
                <anchor moveWithCells="1">
                  <from>
                    <xdr:col>3</xdr:col>
                    <xdr:colOff>525780</xdr:colOff>
                    <xdr:row>20</xdr:row>
                    <xdr:rowOff>30480</xdr:rowOff>
                  </from>
                  <to>
                    <xdr:col>3</xdr:col>
                    <xdr:colOff>1013460</xdr:colOff>
                    <xdr:row>20</xdr:row>
                    <xdr:rowOff>251460</xdr:rowOff>
                  </to>
                </anchor>
              </controlPr>
            </control>
          </mc:Choice>
        </mc:AlternateContent>
        <mc:AlternateContent xmlns:mc="http://schemas.openxmlformats.org/markup-compatibility/2006">
          <mc:Choice Requires="x14">
            <control shapeId="39551" r:id="rId30" name="M9c_Group">
              <controlPr defaultSize="0" autoFill="0" autoPict="0">
                <anchor moveWithCells="1">
                  <from>
                    <xdr:col>3</xdr:col>
                    <xdr:colOff>0</xdr:colOff>
                    <xdr:row>20</xdr:row>
                    <xdr:rowOff>0</xdr:rowOff>
                  </from>
                  <to>
                    <xdr:col>3</xdr:col>
                    <xdr:colOff>1135380</xdr:colOff>
                    <xdr:row>21</xdr:row>
                    <xdr:rowOff>0</xdr:rowOff>
                  </to>
                </anchor>
              </controlPr>
            </control>
          </mc:Choice>
        </mc:AlternateContent>
        <mc:AlternateContent xmlns:mc="http://schemas.openxmlformats.org/markup-compatibility/2006">
          <mc:Choice Requires="x14">
            <control shapeId="39552" r:id="rId31" name="Option Button 640">
              <controlPr defaultSize="0" autoFill="0" autoLine="0" autoPict="0">
                <anchor moveWithCells="1">
                  <from>
                    <xdr:col>3</xdr:col>
                    <xdr:colOff>76200</xdr:colOff>
                    <xdr:row>21</xdr:row>
                    <xdr:rowOff>30480</xdr:rowOff>
                  </from>
                  <to>
                    <xdr:col>3</xdr:col>
                    <xdr:colOff>556260</xdr:colOff>
                    <xdr:row>21</xdr:row>
                    <xdr:rowOff>251460</xdr:rowOff>
                  </to>
                </anchor>
              </controlPr>
            </control>
          </mc:Choice>
        </mc:AlternateContent>
        <mc:AlternateContent xmlns:mc="http://schemas.openxmlformats.org/markup-compatibility/2006">
          <mc:Choice Requires="x14">
            <control shapeId="39553" r:id="rId32" name="Option Button 641">
              <controlPr defaultSize="0" autoFill="0" autoLine="0" autoPict="0" altText="No">
                <anchor moveWithCells="1">
                  <from>
                    <xdr:col>3</xdr:col>
                    <xdr:colOff>525780</xdr:colOff>
                    <xdr:row>21</xdr:row>
                    <xdr:rowOff>30480</xdr:rowOff>
                  </from>
                  <to>
                    <xdr:col>3</xdr:col>
                    <xdr:colOff>1013460</xdr:colOff>
                    <xdr:row>21</xdr:row>
                    <xdr:rowOff>251460</xdr:rowOff>
                  </to>
                </anchor>
              </controlPr>
            </control>
          </mc:Choice>
        </mc:AlternateContent>
        <mc:AlternateContent xmlns:mc="http://schemas.openxmlformats.org/markup-compatibility/2006">
          <mc:Choice Requires="x14">
            <control shapeId="39554" r:id="rId33" name="M10a_Group">
              <controlPr defaultSize="0" autoFill="0" autoPict="0">
                <anchor moveWithCells="1">
                  <from>
                    <xdr:col>3</xdr:col>
                    <xdr:colOff>0</xdr:colOff>
                    <xdr:row>21</xdr:row>
                    <xdr:rowOff>0</xdr:rowOff>
                  </from>
                  <to>
                    <xdr:col>3</xdr:col>
                    <xdr:colOff>1135380</xdr:colOff>
                    <xdr:row>22</xdr:row>
                    <xdr:rowOff>0</xdr:rowOff>
                  </to>
                </anchor>
              </controlPr>
            </control>
          </mc:Choice>
        </mc:AlternateContent>
        <mc:AlternateContent xmlns:mc="http://schemas.openxmlformats.org/markup-compatibility/2006">
          <mc:Choice Requires="x14">
            <control shapeId="39555" r:id="rId34" name="Option Button 643">
              <controlPr defaultSize="0" autoFill="0" autoLine="0" autoPict="0">
                <anchor moveWithCells="1">
                  <from>
                    <xdr:col>3</xdr:col>
                    <xdr:colOff>76200</xdr:colOff>
                    <xdr:row>22</xdr:row>
                    <xdr:rowOff>30480</xdr:rowOff>
                  </from>
                  <to>
                    <xdr:col>3</xdr:col>
                    <xdr:colOff>556260</xdr:colOff>
                    <xdr:row>22</xdr:row>
                    <xdr:rowOff>251460</xdr:rowOff>
                  </to>
                </anchor>
              </controlPr>
            </control>
          </mc:Choice>
        </mc:AlternateContent>
        <mc:AlternateContent xmlns:mc="http://schemas.openxmlformats.org/markup-compatibility/2006">
          <mc:Choice Requires="x14">
            <control shapeId="39556" r:id="rId35" name="Option Button 644">
              <controlPr defaultSize="0" autoFill="0" autoLine="0" autoPict="0" altText="No">
                <anchor moveWithCells="1">
                  <from>
                    <xdr:col>3</xdr:col>
                    <xdr:colOff>525780</xdr:colOff>
                    <xdr:row>22</xdr:row>
                    <xdr:rowOff>30480</xdr:rowOff>
                  </from>
                  <to>
                    <xdr:col>3</xdr:col>
                    <xdr:colOff>1013460</xdr:colOff>
                    <xdr:row>22</xdr:row>
                    <xdr:rowOff>251460</xdr:rowOff>
                  </to>
                </anchor>
              </controlPr>
            </control>
          </mc:Choice>
        </mc:AlternateContent>
        <mc:AlternateContent xmlns:mc="http://schemas.openxmlformats.org/markup-compatibility/2006">
          <mc:Choice Requires="x14">
            <control shapeId="39557" r:id="rId36" name="M10b_Group">
              <controlPr defaultSize="0" autoFill="0" autoPict="0">
                <anchor moveWithCells="1">
                  <from>
                    <xdr:col>3</xdr:col>
                    <xdr:colOff>0</xdr:colOff>
                    <xdr:row>22</xdr:row>
                    <xdr:rowOff>0</xdr:rowOff>
                  </from>
                  <to>
                    <xdr:col>3</xdr:col>
                    <xdr:colOff>1135380</xdr:colOff>
                    <xdr:row>23</xdr:row>
                    <xdr:rowOff>0</xdr:rowOff>
                  </to>
                </anchor>
              </controlPr>
            </control>
          </mc:Choice>
        </mc:AlternateContent>
        <mc:AlternateContent xmlns:mc="http://schemas.openxmlformats.org/markup-compatibility/2006">
          <mc:Choice Requires="x14">
            <control shapeId="39589" r:id="rId37" name="Option Button 677">
              <controlPr defaultSize="0" autoFill="0" autoLine="0" autoPict="0">
                <anchor moveWithCells="1">
                  <from>
                    <xdr:col>3</xdr:col>
                    <xdr:colOff>76200</xdr:colOff>
                    <xdr:row>26</xdr:row>
                    <xdr:rowOff>30480</xdr:rowOff>
                  </from>
                  <to>
                    <xdr:col>3</xdr:col>
                    <xdr:colOff>556260</xdr:colOff>
                    <xdr:row>26</xdr:row>
                    <xdr:rowOff>251460</xdr:rowOff>
                  </to>
                </anchor>
              </controlPr>
            </control>
          </mc:Choice>
        </mc:AlternateContent>
        <mc:AlternateContent xmlns:mc="http://schemas.openxmlformats.org/markup-compatibility/2006">
          <mc:Choice Requires="x14">
            <control shapeId="39590" r:id="rId38" name="Option Button 678">
              <controlPr defaultSize="0" autoFill="0" autoLine="0" autoPict="0" altText="No">
                <anchor moveWithCells="1">
                  <from>
                    <xdr:col>3</xdr:col>
                    <xdr:colOff>525780</xdr:colOff>
                    <xdr:row>26</xdr:row>
                    <xdr:rowOff>30480</xdr:rowOff>
                  </from>
                  <to>
                    <xdr:col>3</xdr:col>
                    <xdr:colOff>1013460</xdr:colOff>
                    <xdr:row>26</xdr:row>
                    <xdr:rowOff>251460</xdr:rowOff>
                  </to>
                </anchor>
              </controlPr>
            </control>
          </mc:Choice>
        </mc:AlternateContent>
        <mc:AlternateContent xmlns:mc="http://schemas.openxmlformats.org/markup-compatibility/2006">
          <mc:Choice Requires="x14">
            <control shapeId="39591" r:id="rId39" name="M13_Group">
              <controlPr defaultSize="0" autoFill="0" autoPict="0">
                <anchor moveWithCells="1">
                  <from>
                    <xdr:col>3</xdr:col>
                    <xdr:colOff>0</xdr:colOff>
                    <xdr:row>26</xdr:row>
                    <xdr:rowOff>0</xdr:rowOff>
                  </from>
                  <to>
                    <xdr:col>3</xdr:col>
                    <xdr:colOff>1135380</xdr:colOff>
                    <xdr:row>27</xdr:row>
                    <xdr:rowOff>0</xdr:rowOff>
                  </to>
                </anchor>
              </controlPr>
            </control>
          </mc:Choice>
        </mc:AlternateContent>
        <mc:AlternateContent xmlns:mc="http://schemas.openxmlformats.org/markup-compatibility/2006">
          <mc:Choice Requires="x14">
            <control shapeId="39637" r:id="rId40" name="Option Button 725">
              <controlPr defaultSize="0" autoFill="0" autoLine="0" autoPict="0" macro="[0]!validateSeedCount">
                <anchor moveWithCells="1">
                  <from>
                    <xdr:col>3</xdr:col>
                    <xdr:colOff>76200</xdr:colOff>
                    <xdr:row>6</xdr:row>
                    <xdr:rowOff>22860</xdr:rowOff>
                  </from>
                  <to>
                    <xdr:col>3</xdr:col>
                    <xdr:colOff>556260</xdr:colOff>
                    <xdr:row>6</xdr:row>
                    <xdr:rowOff>251460</xdr:rowOff>
                  </to>
                </anchor>
              </controlPr>
            </control>
          </mc:Choice>
        </mc:AlternateContent>
        <mc:AlternateContent xmlns:mc="http://schemas.openxmlformats.org/markup-compatibility/2006">
          <mc:Choice Requires="x14">
            <control shapeId="39638" r:id="rId41" name="Option Button 726">
              <controlPr defaultSize="0" autoFill="0" autoLine="0" autoPict="0" macro="[0]!validateSeedCount">
                <anchor moveWithCells="1">
                  <from>
                    <xdr:col>3</xdr:col>
                    <xdr:colOff>525780</xdr:colOff>
                    <xdr:row>6</xdr:row>
                    <xdr:rowOff>22860</xdr:rowOff>
                  </from>
                  <to>
                    <xdr:col>3</xdr:col>
                    <xdr:colOff>1013460</xdr:colOff>
                    <xdr:row>6</xdr:row>
                    <xdr:rowOff>251460</xdr:rowOff>
                  </to>
                </anchor>
              </controlPr>
            </control>
          </mc:Choice>
        </mc:AlternateContent>
        <mc:AlternateContent xmlns:mc="http://schemas.openxmlformats.org/markup-compatibility/2006">
          <mc:Choice Requires="x14">
            <control shapeId="39639" r:id="rId42" name="Option Button 727">
              <controlPr defaultSize="0" autoFill="0" autoLine="0" autoPict="0" macro="[0]!validateSeedCount">
                <anchor moveWithCells="1">
                  <from>
                    <xdr:col>3</xdr:col>
                    <xdr:colOff>975360</xdr:colOff>
                    <xdr:row>6</xdr:row>
                    <xdr:rowOff>22860</xdr:rowOff>
                  </from>
                  <to>
                    <xdr:col>3</xdr:col>
                    <xdr:colOff>1447800</xdr:colOff>
                    <xdr:row>6</xdr:row>
                    <xdr:rowOff>251460</xdr:rowOff>
                  </to>
                </anchor>
              </controlPr>
            </control>
          </mc:Choice>
        </mc:AlternateContent>
        <mc:AlternateContent xmlns:mc="http://schemas.openxmlformats.org/markup-compatibility/2006">
          <mc:Choice Requires="x14">
            <control shapeId="39640" r:id="rId43" name="Option Button 728">
              <controlPr defaultSize="0" autoFill="0" autoLine="0" autoPict="0" macro="[0]!validateSeedCount">
                <anchor moveWithCells="1">
                  <from>
                    <xdr:col>3</xdr:col>
                    <xdr:colOff>1516380</xdr:colOff>
                    <xdr:row>6</xdr:row>
                    <xdr:rowOff>22860</xdr:rowOff>
                  </from>
                  <to>
                    <xdr:col>3</xdr:col>
                    <xdr:colOff>2004060</xdr:colOff>
                    <xdr:row>6</xdr:row>
                    <xdr:rowOff>251460</xdr:rowOff>
                  </to>
                </anchor>
              </controlPr>
            </control>
          </mc:Choice>
        </mc:AlternateContent>
        <mc:AlternateContent xmlns:mc="http://schemas.openxmlformats.org/markup-compatibility/2006">
          <mc:Choice Requires="x14">
            <control shapeId="39641" r:id="rId44" name="M2_Group">
              <controlPr defaultSize="0" autoFill="0" autoPict="0">
                <anchor moveWithCells="1">
                  <from>
                    <xdr:col>3</xdr:col>
                    <xdr:colOff>22860</xdr:colOff>
                    <xdr:row>6</xdr:row>
                    <xdr:rowOff>22860</xdr:rowOff>
                  </from>
                  <to>
                    <xdr:col>3</xdr:col>
                    <xdr:colOff>2857500</xdr:colOff>
                    <xdr:row>7</xdr:row>
                    <xdr:rowOff>0</xdr:rowOff>
                  </to>
                </anchor>
              </controlPr>
            </control>
          </mc:Choice>
        </mc:AlternateContent>
        <mc:AlternateContent xmlns:mc="http://schemas.openxmlformats.org/markup-compatibility/2006">
          <mc:Choice Requires="x14">
            <control shapeId="39642" r:id="rId45" name="Option Button 730">
              <controlPr defaultSize="0" autoFill="0" autoLine="0" autoPict="0">
                <anchor moveWithCells="1">
                  <from>
                    <xdr:col>3</xdr:col>
                    <xdr:colOff>76200</xdr:colOff>
                    <xdr:row>8</xdr:row>
                    <xdr:rowOff>30480</xdr:rowOff>
                  </from>
                  <to>
                    <xdr:col>3</xdr:col>
                    <xdr:colOff>556260</xdr:colOff>
                    <xdr:row>8</xdr:row>
                    <xdr:rowOff>251460</xdr:rowOff>
                  </to>
                </anchor>
              </controlPr>
            </control>
          </mc:Choice>
        </mc:AlternateContent>
        <mc:AlternateContent xmlns:mc="http://schemas.openxmlformats.org/markup-compatibility/2006">
          <mc:Choice Requires="x14">
            <control shapeId="39643" r:id="rId46" name="Option Button 731">
              <controlPr defaultSize="0" autoFill="0" autoLine="0" autoPict="0" altText="No">
                <anchor moveWithCells="1">
                  <from>
                    <xdr:col>3</xdr:col>
                    <xdr:colOff>525780</xdr:colOff>
                    <xdr:row>8</xdr:row>
                    <xdr:rowOff>30480</xdr:rowOff>
                  </from>
                  <to>
                    <xdr:col>3</xdr:col>
                    <xdr:colOff>1013460</xdr:colOff>
                    <xdr:row>8</xdr:row>
                    <xdr:rowOff>251460</xdr:rowOff>
                  </to>
                </anchor>
              </controlPr>
            </control>
          </mc:Choice>
        </mc:AlternateContent>
        <mc:AlternateContent xmlns:mc="http://schemas.openxmlformats.org/markup-compatibility/2006">
          <mc:Choice Requires="x14">
            <control shapeId="39644" r:id="rId47" name="M3b_Group">
              <controlPr defaultSize="0" autoFill="0" autoPict="0">
                <anchor moveWithCells="1">
                  <from>
                    <xdr:col>3</xdr:col>
                    <xdr:colOff>0</xdr:colOff>
                    <xdr:row>8</xdr:row>
                    <xdr:rowOff>0</xdr:rowOff>
                  </from>
                  <to>
                    <xdr:col>3</xdr:col>
                    <xdr:colOff>1135380</xdr:colOff>
                    <xdr:row>9</xdr:row>
                    <xdr:rowOff>0</xdr:rowOff>
                  </to>
                </anchor>
              </controlPr>
            </control>
          </mc:Choice>
        </mc:AlternateContent>
        <mc:AlternateContent xmlns:mc="http://schemas.openxmlformats.org/markup-compatibility/2006">
          <mc:Choice Requires="x14">
            <control shapeId="39645" r:id="rId48" name="Option Button 733">
              <controlPr defaultSize="0" autoFill="0" autoLine="0" autoPict="0">
                <anchor moveWithCells="1">
                  <from>
                    <xdr:col>3</xdr:col>
                    <xdr:colOff>76200</xdr:colOff>
                    <xdr:row>14</xdr:row>
                    <xdr:rowOff>22860</xdr:rowOff>
                  </from>
                  <to>
                    <xdr:col>3</xdr:col>
                    <xdr:colOff>556260</xdr:colOff>
                    <xdr:row>14</xdr:row>
                    <xdr:rowOff>251460</xdr:rowOff>
                  </to>
                </anchor>
              </controlPr>
            </control>
          </mc:Choice>
        </mc:AlternateContent>
        <mc:AlternateContent xmlns:mc="http://schemas.openxmlformats.org/markup-compatibility/2006">
          <mc:Choice Requires="x14">
            <control shapeId="39646" r:id="rId49" name="Option Button 734">
              <controlPr defaultSize="0" autoFill="0" autoLine="0" autoPict="0">
                <anchor moveWithCells="1">
                  <from>
                    <xdr:col>3</xdr:col>
                    <xdr:colOff>525780</xdr:colOff>
                    <xdr:row>14</xdr:row>
                    <xdr:rowOff>22860</xdr:rowOff>
                  </from>
                  <to>
                    <xdr:col>3</xdr:col>
                    <xdr:colOff>1013460</xdr:colOff>
                    <xdr:row>14</xdr:row>
                    <xdr:rowOff>251460</xdr:rowOff>
                  </to>
                </anchor>
              </controlPr>
            </control>
          </mc:Choice>
        </mc:AlternateContent>
        <mc:AlternateContent xmlns:mc="http://schemas.openxmlformats.org/markup-compatibility/2006">
          <mc:Choice Requires="x14">
            <control shapeId="39647" r:id="rId50" name="Option Button 735">
              <controlPr defaultSize="0" autoFill="0" autoLine="0" autoPict="0">
                <anchor moveWithCells="1">
                  <from>
                    <xdr:col>3</xdr:col>
                    <xdr:colOff>975360</xdr:colOff>
                    <xdr:row>14</xdr:row>
                    <xdr:rowOff>22860</xdr:rowOff>
                  </from>
                  <to>
                    <xdr:col>3</xdr:col>
                    <xdr:colOff>1440180</xdr:colOff>
                    <xdr:row>14</xdr:row>
                    <xdr:rowOff>251460</xdr:rowOff>
                  </to>
                </anchor>
              </controlPr>
            </control>
          </mc:Choice>
        </mc:AlternateContent>
        <mc:AlternateContent xmlns:mc="http://schemas.openxmlformats.org/markup-compatibility/2006">
          <mc:Choice Requires="x14">
            <control shapeId="39648" r:id="rId51" name="Option Button 736">
              <controlPr defaultSize="0" autoFill="0" autoLine="0" autoPict="0">
                <anchor moveWithCells="1">
                  <from>
                    <xdr:col>3</xdr:col>
                    <xdr:colOff>1516380</xdr:colOff>
                    <xdr:row>14</xdr:row>
                    <xdr:rowOff>22860</xdr:rowOff>
                  </from>
                  <to>
                    <xdr:col>3</xdr:col>
                    <xdr:colOff>2004060</xdr:colOff>
                    <xdr:row>14</xdr:row>
                    <xdr:rowOff>251460</xdr:rowOff>
                  </to>
                </anchor>
              </controlPr>
            </control>
          </mc:Choice>
        </mc:AlternateContent>
        <mc:AlternateContent xmlns:mc="http://schemas.openxmlformats.org/markup-compatibility/2006">
          <mc:Choice Requires="x14">
            <control shapeId="39649" r:id="rId52" name="M6b_Group">
              <controlPr defaultSize="0" autoFill="0" autoPict="0">
                <anchor moveWithCells="1">
                  <from>
                    <xdr:col>3</xdr:col>
                    <xdr:colOff>22860</xdr:colOff>
                    <xdr:row>14</xdr:row>
                    <xdr:rowOff>22860</xdr:rowOff>
                  </from>
                  <to>
                    <xdr:col>3</xdr:col>
                    <xdr:colOff>2849880</xdr:colOff>
                    <xdr:row>15</xdr:row>
                    <xdr:rowOff>0</xdr:rowOff>
                  </to>
                </anchor>
              </controlPr>
            </control>
          </mc:Choice>
        </mc:AlternateContent>
        <mc:AlternateContent xmlns:mc="http://schemas.openxmlformats.org/markup-compatibility/2006">
          <mc:Choice Requires="x14">
            <control shapeId="39653" r:id="rId53" name="Option Button 741">
              <controlPr defaultSize="0" autoFill="0" autoLine="0" autoPict="0">
                <anchor moveWithCells="1">
                  <from>
                    <xdr:col>3</xdr:col>
                    <xdr:colOff>76200</xdr:colOff>
                    <xdr:row>23</xdr:row>
                    <xdr:rowOff>30480</xdr:rowOff>
                  </from>
                  <to>
                    <xdr:col>3</xdr:col>
                    <xdr:colOff>556260</xdr:colOff>
                    <xdr:row>23</xdr:row>
                    <xdr:rowOff>251460</xdr:rowOff>
                  </to>
                </anchor>
              </controlPr>
            </control>
          </mc:Choice>
        </mc:AlternateContent>
        <mc:AlternateContent xmlns:mc="http://schemas.openxmlformats.org/markup-compatibility/2006">
          <mc:Choice Requires="x14">
            <control shapeId="39654" r:id="rId54" name="Option Button 742">
              <controlPr defaultSize="0" autoFill="0" autoLine="0" autoPict="0" altText="No">
                <anchor moveWithCells="1">
                  <from>
                    <xdr:col>3</xdr:col>
                    <xdr:colOff>525780</xdr:colOff>
                    <xdr:row>23</xdr:row>
                    <xdr:rowOff>30480</xdr:rowOff>
                  </from>
                  <to>
                    <xdr:col>3</xdr:col>
                    <xdr:colOff>1013460</xdr:colOff>
                    <xdr:row>23</xdr:row>
                    <xdr:rowOff>251460</xdr:rowOff>
                  </to>
                </anchor>
              </controlPr>
            </control>
          </mc:Choice>
        </mc:AlternateContent>
        <mc:AlternateContent xmlns:mc="http://schemas.openxmlformats.org/markup-compatibility/2006">
          <mc:Choice Requires="x14">
            <control shapeId="39655" r:id="rId55" name="M11_Group">
              <controlPr defaultSize="0" autoFill="0" autoPict="0">
                <anchor moveWithCells="1">
                  <from>
                    <xdr:col>3</xdr:col>
                    <xdr:colOff>0</xdr:colOff>
                    <xdr:row>23</xdr:row>
                    <xdr:rowOff>0</xdr:rowOff>
                  </from>
                  <to>
                    <xdr:col>3</xdr:col>
                    <xdr:colOff>1135380</xdr:colOff>
                    <xdr:row>24</xdr:row>
                    <xdr:rowOff>0</xdr:rowOff>
                  </to>
                </anchor>
              </controlPr>
            </control>
          </mc:Choice>
        </mc:AlternateContent>
        <mc:AlternateContent xmlns:mc="http://schemas.openxmlformats.org/markup-compatibility/2006">
          <mc:Choice Requires="x14">
            <control shapeId="39662" r:id="rId56" name="Option Button 750">
              <controlPr defaultSize="0" autoFill="0" autoLine="0" autoPict="0">
                <anchor moveWithCells="1">
                  <from>
                    <xdr:col>3</xdr:col>
                    <xdr:colOff>76200</xdr:colOff>
                    <xdr:row>24</xdr:row>
                    <xdr:rowOff>22860</xdr:rowOff>
                  </from>
                  <to>
                    <xdr:col>3</xdr:col>
                    <xdr:colOff>556260</xdr:colOff>
                    <xdr:row>24</xdr:row>
                    <xdr:rowOff>236220</xdr:rowOff>
                  </to>
                </anchor>
              </controlPr>
            </control>
          </mc:Choice>
        </mc:AlternateContent>
        <mc:AlternateContent xmlns:mc="http://schemas.openxmlformats.org/markup-compatibility/2006">
          <mc:Choice Requires="x14">
            <control shapeId="39663" r:id="rId57" name="Option Button 751">
              <controlPr defaultSize="0" autoFill="0" autoLine="0" autoPict="0" altText="No">
                <anchor moveWithCells="1">
                  <from>
                    <xdr:col>3</xdr:col>
                    <xdr:colOff>525780</xdr:colOff>
                    <xdr:row>24</xdr:row>
                    <xdr:rowOff>22860</xdr:rowOff>
                  </from>
                  <to>
                    <xdr:col>3</xdr:col>
                    <xdr:colOff>1013460</xdr:colOff>
                    <xdr:row>24</xdr:row>
                    <xdr:rowOff>236220</xdr:rowOff>
                  </to>
                </anchor>
              </controlPr>
            </control>
          </mc:Choice>
        </mc:AlternateContent>
        <mc:AlternateContent xmlns:mc="http://schemas.openxmlformats.org/markup-compatibility/2006">
          <mc:Choice Requires="x14">
            <control shapeId="39664" r:id="rId58" name="M12a_Group">
              <controlPr defaultSize="0" autoFill="0" autoPict="0">
                <anchor moveWithCells="1">
                  <from>
                    <xdr:col>3</xdr:col>
                    <xdr:colOff>0</xdr:colOff>
                    <xdr:row>24</xdr:row>
                    <xdr:rowOff>0</xdr:rowOff>
                  </from>
                  <to>
                    <xdr:col>3</xdr:col>
                    <xdr:colOff>1135380</xdr:colOff>
                    <xdr:row>25</xdr:row>
                    <xdr:rowOff>0</xdr:rowOff>
                  </to>
                </anchor>
              </controlPr>
            </control>
          </mc:Choice>
        </mc:AlternateContent>
        <mc:AlternateContent xmlns:mc="http://schemas.openxmlformats.org/markup-compatibility/2006">
          <mc:Choice Requires="x14">
            <control shapeId="39665" r:id="rId59" name="Option Button 753">
              <controlPr defaultSize="0" autoFill="0" autoLine="0" autoPict="0">
                <anchor moveWithCells="1">
                  <from>
                    <xdr:col>3</xdr:col>
                    <xdr:colOff>76200</xdr:colOff>
                    <xdr:row>25</xdr:row>
                    <xdr:rowOff>30480</xdr:rowOff>
                  </from>
                  <to>
                    <xdr:col>3</xdr:col>
                    <xdr:colOff>556260</xdr:colOff>
                    <xdr:row>25</xdr:row>
                    <xdr:rowOff>251460</xdr:rowOff>
                  </to>
                </anchor>
              </controlPr>
            </control>
          </mc:Choice>
        </mc:AlternateContent>
        <mc:AlternateContent xmlns:mc="http://schemas.openxmlformats.org/markup-compatibility/2006">
          <mc:Choice Requires="x14">
            <control shapeId="39666" r:id="rId60" name="Option Button 754">
              <controlPr defaultSize="0" autoFill="0" autoLine="0" autoPict="0" altText="No">
                <anchor moveWithCells="1">
                  <from>
                    <xdr:col>3</xdr:col>
                    <xdr:colOff>525780</xdr:colOff>
                    <xdr:row>25</xdr:row>
                    <xdr:rowOff>30480</xdr:rowOff>
                  </from>
                  <to>
                    <xdr:col>3</xdr:col>
                    <xdr:colOff>1013460</xdr:colOff>
                    <xdr:row>25</xdr:row>
                    <xdr:rowOff>251460</xdr:rowOff>
                  </to>
                </anchor>
              </controlPr>
            </control>
          </mc:Choice>
        </mc:AlternateContent>
        <mc:AlternateContent xmlns:mc="http://schemas.openxmlformats.org/markup-compatibility/2006">
          <mc:Choice Requires="x14">
            <control shapeId="39667" r:id="rId61" name="M12b_Group">
              <controlPr defaultSize="0" autoFill="0" autoPict="0">
                <anchor moveWithCells="1">
                  <from>
                    <xdr:col>3</xdr:col>
                    <xdr:colOff>0</xdr:colOff>
                    <xdr:row>25</xdr:row>
                    <xdr:rowOff>0</xdr:rowOff>
                  </from>
                  <to>
                    <xdr:col>3</xdr:col>
                    <xdr:colOff>1135380</xdr:colOff>
                    <xdr:row>26</xdr:row>
                    <xdr:rowOff>0</xdr:rowOff>
                  </to>
                </anchor>
              </controlPr>
            </control>
          </mc:Choice>
        </mc:AlternateContent>
        <mc:AlternateContent xmlns:mc="http://schemas.openxmlformats.org/markup-compatibility/2006">
          <mc:Choice Requires="x14">
            <control shapeId="39680" r:id="rId62" name="Option Button 768">
              <controlPr defaultSize="0" autoFill="0" autoLine="0" autoPict="0">
                <anchor moveWithCells="1">
                  <from>
                    <xdr:col>3</xdr:col>
                    <xdr:colOff>76200</xdr:colOff>
                    <xdr:row>32</xdr:row>
                    <xdr:rowOff>30480</xdr:rowOff>
                  </from>
                  <to>
                    <xdr:col>3</xdr:col>
                    <xdr:colOff>556260</xdr:colOff>
                    <xdr:row>33</xdr:row>
                    <xdr:rowOff>0</xdr:rowOff>
                  </to>
                </anchor>
              </controlPr>
            </control>
          </mc:Choice>
        </mc:AlternateContent>
        <mc:AlternateContent xmlns:mc="http://schemas.openxmlformats.org/markup-compatibility/2006">
          <mc:Choice Requires="x14">
            <control shapeId="39681" r:id="rId63" name="Option Button 769">
              <controlPr defaultSize="0" autoFill="0" autoLine="0" autoPict="0">
                <anchor moveWithCells="1">
                  <from>
                    <xdr:col>3</xdr:col>
                    <xdr:colOff>525780</xdr:colOff>
                    <xdr:row>32</xdr:row>
                    <xdr:rowOff>30480</xdr:rowOff>
                  </from>
                  <to>
                    <xdr:col>3</xdr:col>
                    <xdr:colOff>1013460</xdr:colOff>
                    <xdr:row>33</xdr:row>
                    <xdr:rowOff>0</xdr:rowOff>
                  </to>
                </anchor>
              </controlPr>
            </control>
          </mc:Choice>
        </mc:AlternateContent>
        <mc:AlternateContent xmlns:mc="http://schemas.openxmlformats.org/markup-compatibility/2006">
          <mc:Choice Requires="x14">
            <control shapeId="39682" r:id="rId64" name="Option Button 770">
              <controlPr defaultSize="0" autoFill="0" autoLine="0" autoPict="0">
                <anchor moveWithCells="1">
                  <from>
                    <xdr:col>3</xdr:col>
                    <xdr:colOff>975360</xdr:colOff>
                    <xdr:row>32</xdr:row>
                    <xdr:rowOff>30480</xdr:rowOff>
                  </from>
                  <to>
                    <xdr:col>3</xdr:col>
                    <xdr:colOff>1440180</xdr:colOff>
                    <xdr:row>33</xdr:row>
                    <xdr:rowOff>0</xdr:rowOff>
                  </to>
                </anchor>
              </controlPr>
            </control>
          </mc:Choice>
        </mc:AlternateContent>
        <mc:AlternateContent xmlns:mc="http://schemas.openxmlformats.org/markup-compatibility/2006">
          <mc:Choice Requires="x14">
            <control shapeId="39684" r:id="rId65" name="M15d_Group">
              <controlPr defaultSize="0" autoFill="0" autoPict="0">
                <anchor moveWithCells="1">
                  <from>
                    <xdr:col>3</xdr:col>
                    <xdr:colOff>22860</xdr:colOff>
                    <xdr:row>32</xdr:row>
                    <xdr:rowOff>22860</xdr:rowOff>
                  </from>
                  <to>
                    <xdr:col>3</xdr:col>
                    <xdr:colOff>2849880</xdr:colOff>
                    <xdr:row>33</xdr:row>
                    <xdr:rowOff>0</xdr:rowOff>
                  </to>
                </anchor>
              </controlPr>
            </control>
          </mc:Choice>
        </mc:AlternateContent>
        <mc:AlternateContent xmlns:mc="http://schemas.openxmlformats.org/markup-compatibility/2006">
          <mc:Choice Requires="x14">
            <control shapeId="39690" r:id="rId66" name="M14b_Radio0">
              <controlPr defaultSize="0" autoFill="0" autoLine="0" autoPict="0" macro="[0]!validateNumPlanted">
                <anchor moveWithCells="1">
                  <from>
                    <xdr:col>3</xdr:col>
                    <xdr:colOff>76200</xdr:colOff>
                    <xdr:row>28</xdr:row>
                    <xdr:rowOff>22860</xdr:rowOff>
                  </from>
                  <to>
                    <xdr:col>3</xdr:col>
                    <xdr:colOff>411480</xdr:colOff>
                    <xdr:row>28</xdr:row>
                    <xdr:rowOff>251460</xdr:rowOff>
                  </to>
                </anchor>
              </controlPr>
            </control>
          </mc:Choice>
        </mc:AlternateContent>
        <mc:AlternateContent xmlns:mc="http://schemas.openxmlformats.org/markup-compatibility/2006">
          <mc:Choice Requires="x14">
            <control shapeId="39691" r:id="rId67" name="M14b_Radio1">
              <controlPr defaultSize="0" autoFill="0" autoLine="0" autoPict="0" macro="[0]!validateNumPlanted">
                <anchor moveWithCells="1">
                  <from>
                    <xdr:col>3</xdr:col>
                    <xdr:colOff>525780</xdr:colOff>
                    <xdr:row>28</xdr:row>
                    <xdr:rowOff>22860</xdr:rowOff>
                  </from>
                  <to>
                    <xdr:col>3</xdr:col>
                    <xdr:colOff>861060</xdr:colOff>
                    <xdr:row>28</xdr:row>
                    <xdr:rowOff>236220</xdr:rowOff>
                  </to>
                </anchor>
              </controlPr>
            </control>
          </mc:Choice>
        </mc:AlternateContent>
        <mc:AlternateContent xmlns:mc="http://schemas.openxmlformats.org/markup-compatibility/2006">
          <mc:Choice Requires="x14">
            <control shapeId="39698" r:id="rId68" name="M14b_Radio2">
              <controlPr defaultSize="0" autoFill="0" autoLine="0" autoPict="0" macro="[0]!validateNumPlanted">
                <anchor moveWithCells="1">
                  <from>
                    <xdr:col>3</xdr:col>
                    <xdr:colOff>975360</xdr:colOff>
                    <xdr:row>28</xdr:row>
                    <xdr:rowOff>22860</xdr:rowOff>
                  </from>
                  <to>
                    <xdr:col>3</xdr:col>
                    <xdr:colOff>1402080</xdr:colOff>
                    <xdr:row>28</xdr:row>
                    <xdr:rowOff>251460</xdr:rowOff>
                  </to>
                </anchor>
              </controlPr>
            </control>
          </mc:Choice>
        </mc:AlternateContent>
        <mc:AlternateContent xmlns:mc="http://schemas.openxmlformats.org/markup-compatibility/2006">
          <mc:Choice Requires="x14">
            <control shapeId="39699" r:id="rId69" name="M14b_Radio3">
              <controlPr defaultSize="0" autoFill="0" autoLine="0" autoPict="0" macro="[0]!validateNumPlanted">
                <anchor moveWithCells="1">
                  <from>
                    <xdr:col>3</xdr:col>
                    <xdr:colOff>1516380</xdr:colOff>
                    <xdr:row>28</xdr:row>
                    <xdr:rowOff>22860</xdr:rowOff>
                  </from>
                  <to>
                    <xdr:col>3</xdr:col>
                    <xdr:colOff>1897380</xdr:colOff>
                    <xdr:row>28</xdr:row>
                    <xdr:rowOff>251460</xdr:rowOff>
                  </to>
                </anchor>
              </controlPr>
            </control>
          </mc:Choice>
        </mc:AlternateContent>
        <mc:AlternateContent xmlns:mc="http://schemas.openxmlformats.org/markup-compatibility/2006">
          <mc:Choice Requires="x14">
            <control shapeId="39700" r:id="rId70" name="M14b_Radio4">
              <controlPr defaultSize="0" autoFill="0" autoLine="0" autoPict="0" macro="[0]!validateNumPlanted">
                <anchor moveWithCells="1">
                  <from>
                    <xdr:col>3</xdr:col>
                    <xdr:colOff>2011680</xdr:colOff>
                    <xdr:row>28</xdr:row>
                    <xdr:rowOff>22860</xdr:rowOff>
                  </from>
                  <to>
                    <xdr:col>3</xdr:col>
                    <xdr:colOff>2385060</xdr:colOff>
                    <xdr:row>28</xdr:row>
                    <xdr:rowOff>251460</xdr:rowOff>
                  </to>
                </anchor>
              </controlPr>
            </control>
          </mc:Choice>
        </mc:AlternateContent>
        <mc:AlternateContent xmlns:mc="http://schemas.openxmlformats.org/markup-compatibility/2006">
          <mc:Choice Requires="x14">
            <control shapeId="39704" r:id="rId71" name="M14b_Group">
              <controlPr defaultSize="0" autoFill="0" autoPict="0">
                <anchor moveWithCells="1">
                  <from>
                    <xdr:col>3</xdr:col>
                    <xdr:colOff>0</xdr:colOff>
                    <xdr:row>28</xdr:row>
                    <xdr:rowOff>7620</xdr:rowOff>
                  </from>
                  <to>
                    <xdr:col>6</xdr:col>
                    <xdr:colOff>571500</xdr:colOff>
                    <xdr:row>28</xdr:row>
                    <xdr:rowOff>251460</xdr:rowOff>
                  </to>
                </anchor>
              </controlPr>
            </control>
          </mc:Choice>
        </mc:AlternateContent>
        <mc:AlternateContent xmlns:mc="http://schemas.openxmlformats.org/markup-compatibility/2006">
          <mc:Choice Requires="x14">
            <control shapeId="39705" r:id="rId72" name="Option Button 793">
              <controlPr defaultSize="0" autoFill="0" autoLine="0" autoPict="0">
                <anchor moveWithCells="1">
                  <from>
                    <xdr:col>3</xdr:col>
                    <xdr:colOff>76200</xdr:colOff>
                    <xdr:row>33</xdr:row>
                    <xdr:rowOff>22860</xdr:rowOff>
                  </from>
                  <to>
                    <xdr:col>3</xdr:col>
                    <xdr:colOff>518160</xdr:colOff>
                    <xdr:row>33</xdr:row>
                    <xdr:rowOff>251460</xdr:rowOff>
                  </to>
                </anchor>
              </controlPr>
            </control>
          </mc:Choice>
        </mc:AlternateContent>
        <mc:AlternateContent xmlns:mc="http://schemas.openxmlformats.org/markup-compatibility/2006">
          <mc:Choice Requires="x14">
            <control shapeId="39706" r:id="rId73" name="Option Button 794">
              <controlPr defaultSize="0" autoFill="0" autoLine="0" autoPict="0">
                <anchor moveWithCells="1">
                  <from>
                    <xdr:col>3</xdr:col>
                    <xdr:colOff>525780</xdr:colOff>
                    <xdr:row>33</xdr:row>
                    <xdr:rowOff>22860</xdr:rowOff>
                  </from>
                  <to>
                    <xdr:col>3</xdr:col>
                    <xdr:colOff>960120</xdr:colOff>
                    <xdr:row>33</xdr:row>
                    <xdr:rowOff>251460</xdr:rowOff>
                  </to>
                </anchor>
              </controlPr>
            </control>
          </mc:Choice>
        </mc:AlternateContent>
        <mc:AlternateContent xmlns:mc="http://schemas.openxmlformats.org/markup-compatibility/2006">
          <mc:Choice Requires="x14">
            <control shapeId="39707" r:id="rId74" name="Option Button 795">
              <controlPr defaultSize="0" autoFill="0" autoLine="0" autoPict="0">
                <anchor moveWithCells="1">
                  <from>
                    <xdr:col>3</xdr:col>
                    <xdr:colOff>975360</xdr:colOff>
                    <xdr:row>33</xdr:row>
                    <xdr:rowOff>22860</xdr:rowOff>
                  </from>
                  <to>
                    <xdr:col>3</xdr:col>
                    <xdr:colOff>1417320</xdr:colOff>
                    <xdr:row>33</xdr:row>
                    <xdr:rowOff>251460</xdr:rowOff>
                  </to>
                </anchor>
              </controlPr>
            </control>
          </mc:Choice>
        </mc:AlternateContent>
        <mc:AlternateContent xmlns:mc="http://schemas.openxmlformats.org/markup-compatibility/2006">
          <mc:Choice Requires="x14">
            <control shapeId="39708" r:id="rId75" name="Option Button 796">
              <controlPr defaultSize="0" autoFill="0" autoLine="0" autoPict="0">
                <anchor moveWithCells="1">
                  <from>
                    <xdr:col>3</xdr:col>
                    <xdr:colOff>1516380</xdr:colOff>
                    <xdr:row>33</xdr:row>
                    <xdr:rowOff>22860</xdr:rowOff>
                  </from>
                  <to>
                    <xdr:col>3</xdr:col>
                    <xdr:colOff>1950720</xdr:colOff>
                    <xdr:row>33</xdr:row>
                    <xdr:rowOff>251460</xdr:rowOff>
                  </to>
                </anchor>
              </controlPr>
            </control>
          </mc:Choice>
        </mc:AlternateContent>
        <mc:AlternateContent xmlns:mc="http://schemas.openxmlformats.org/markup-compatibility/2006">
          <mc:Choice Requires="x14">
            <control shapeId="39709" r:id="rId76" name="Option Button 797">
              <controlPr defaultSize="0" autoFill="0" autoLine="0" autoPict="0">
                <anchor moveWithCells="1">
                  <from>
                    <xdr:col>3</xdr:col>
                    <xdr:colOff>2011680</xdr:colOff>
                    <xdr:row>33</xdr:row>
                    <xdr:rowOff>22860</xdr:rowOff>
                  </from>
                  <to>
                    <xdr:col>3</xdr:col>
                    <xdr:colOff>2499360</xdr:colOff>
                    <xdr:row>33</xdr:row>
                    <xdr:rowOff>251460</xdr:rowOff>
                  </to>
                </anchor>
              </controlPr>
            </control>
          </mc:Choice>
        </mc:AlternateContent>
        <mc:AlternateContent xmlns:mc="http://schemas.openxmlformats.org/markup-compatibility/2006">
          <mc:Choice Requires="x14">
            <control shapeId="39710" r:id="rId77" name="Option Button 798">
              <controlPr defaultSize="0" autoFill="0" autoLine="0" autoPict="0">
                <anchor moveWithCells="1">
                  <from>
                    <xdr:col>3</xdr:col>
                    <xdr:colOff>2499360</xdr:colOff>
                    <xdr:row>33</xdr:row>
                    <xdr:rowOff>22860</xdr:rowOff>
                  </from>
                  <to>
                    <xdr:col>3</xdr:col>
                    <xdr:colOff>2994660</xdr:colOff>
                    <xdr:row>33</xdr:row>
                    <xdr:rowOff>251460</xdr:rowOff>
                  </to>
                </anchor>
              </controlPr>
            </control>
          </mc:Choice>
        </mc:AlternateContent>
        <mc:AlternateContent xmlns:mc="http://schemas.openxmlformats.org/markup-compatibility/2006">
          <mc:Choice Requires="x14">
            <control shapeId="39711" r:id="rId78" name="Option Button 799">
              <controlPr defaultSize="0" autoFill="0" autoLine="0" autoPict="0">
                <anchor moveWithCells="1">
                  <from>
                    <xdr:col>3</xdr:col>
                    <xdr:colOff>3009900</xdr:colOff>
                    <xdr:row>33</xdr:row>
                    <xdr:rowOff>22860</xdr:rowOff>
                  </from>
                  <to>
                    <xdr:col>3</xdr:col>
                    <xdr:colOff>3436620</xdr:colOff>
                    <xdr:row>33</xdr:row>
                    <xdr:rowOff>251460</xdr:rowOff>
                  </to>
                </anchor>
              </controlPr>
            </control>
          </mc:Choice>
        </mc:AlternateContent>
        <mc:AlternateContent xmlns:mc="http://schemas.openxmlformats.org/markup-compatibility/2006">
          <mc:Choice Requires="x14">
            <control shapeId="39712" r:id="rId79" name="Precision_Group">
              <controlPr defaultSize="0" autoFill="0" autoPict="0">
                <anchor moveWithCells="1">
                  <from>
                    <xdr:col>3</xdr:col>
                    <xdr:colOff>22860</xdr:colOff>
                    <xdr:row>32</xdr:row>
                    <xdr:rowOff>251460</xdr:rowOff>
                  </from>
                  <to>
                    <xdr:col>4</xdr:col>
                    <xdr:colOff>0</xdr:colOff>
                    <xdr:row>34</xdr:row>
                    <xdr:rowOff>0</xdr:rowOff>
                  </to>
                </anchor>
              </controlPr>
            </control>
          </mc:Choice>
        </mc:AlternateContent>
        <mc:AlternateContent xmlns:mc="http://schemas.openxmlformats.org/markup-compatibility/2006">
          <mc:Choice Requires="x14">
            <control shapeId="39713" r:id="rId80" name="Option Button 801">
              <controlPr defaultSize="0" autoFill="0" autoLine="0" autoPict="0">
                <anchor moveWithCells="1">
                  <from>
                    <xdr:col>3</xdr:col>
                    <xdr:colOff>83820</xdr:colOff>
                    <xdr:row>4</xdr:row>
                    <xdr:rowOff>7620</xdr:rowOff>
                  </from>
                  <to>
                    <xdr:col>3</xdr:col>
                    <xdr:colOff>563880</xdr:colOff>
                    <xdr:row>4</xdr:row>
                    <xdr:rowOff>228600</xdr:rowOff>
                  </to>
                </anchor>
              </controlPr>
            </control>
          </mc:Choice>
        </mc:AlternateContent>
        <mc:AlternateContent xmlns:mc="http://schemas.openxmlformats.org/markup-compatibility/2006">
          <mc:Choice Requires="x14">
            <control shapeId="39714" r:id="rId81" name="Option Button 802">
              <controlPr defaultSize="0" autoFill="0" autoLine="0" autoPict="0" altText="No">
                <anchor moveWithCells="1">
                  <from>
                    <xdr:col>3</xdr:col>
                    <xdr:colOff>541020</xdr:colOff>
                    <xdr:row>4</xdr:row>
                    <xdr:rowOff>7620</xdr:rowOff>
                  </from>
                  <to>
                    <xdr:col>3</xdr:col>
                    <xdr:colOff>1021080</xdr:colOff>
                    <xdr:row>4</xdr:row>
                    <xdr:rowOff>228600</xdr:rowOff>
                  </to>
                </anchor>
              </controlPr>
            </control>
          </mc:Choice>
        </mc:AlternateContent>
        <mc:AlternateContent xmlns:mc="http://schemas.openxmlformats.org/markup-compatibility/2006">
          <mc:Choice Requires="x14">
            <control shapeId="39715" r:id="rId82" name="M1a_Group">
              <controlPr defaultSize="0" autoFill="0" autoPict="0">
                <anchor moveWithCells="1">
                  <from>
                    <xdr:col>3</xdr:col>
                    <xdr:colOff>0</xdr:colOff>
                    <xdr:row>3</xdr:row>
                    <xdr:rowOff>365760</xdr:rowOff>
                  </from>
                  <to>
                    <xdr:col>3</xdr:col>
                    <xdr:colOff>1143000</xdr:colOff>
                    <xdr:row>4</xdr:row>
                    <xdr:rowOff>251460</xdr:rowOff>
                  </to>
                </anchor>
              </controlPr>
            </control>
          </mc:Choice>
        </mc:AlternateContent>
        <mc:AlternateContent xmlns:mc="http://schemas.openxmlformats.org/markup-compatibility/2006">
          <mc:Choice Requires="x14">
            <control shapeId="39716" r:id="rId83" name="Option Button 804">
              <controlPr defaultSize="0" autoFill="0" autoLine="0" autoPict="0">
                <anchor moveWithCells="1">
                  <from>
                    <xdr:col>3</xdr:col>
                    <xdr:colOff>76200</xdr:colOff>
                    <xdr:row>9</xdr:row>
                    <xdr:rowOff>7620</xdr:rowOff>
                  </from>
                  <to>
                    <xdr:col>3</xdr:col>
                    <xdr:colOff>556260</xdr:colOff>
                    <xdr:row>9</xdr:row>
                    <xdr:rowOff>236220</xdr:rowOff>
                  </to>
                </anchor>
              </controlPr>
            </control>
          </mc:Choice>
        </mc:AlternateContent>
        <mc:AlternateContent xmlns:mc="http://schemas.openxmlformats.org/markup-compatibility/2006">
          <mc:Choice Requires="x14">
            <control shapeId="39717" r:id="rId84" name="Option Button 805">
              <controlPr defaultSize="0" autoFill="0" autoLine="0" autoPict="0">
                <anchor moveWithCells="1">
                  <from>
                    <xdr:col>3</xdr:col>
                    <xdr:colOff>525780</xdr:colOff>
                    <xdr:row>9</xdr:row>
                    <xdr:rowOff>7620</xdr:rowOff>
                  </from>
                  <to>
                    <xdr:col>3</xdr:col>
                    <xdr:colOff>1013460</xdr:colOff>
                    <xdr:row>9</xdr:row>
                    <xdr:rowOff>236220</xdr:rowOff>
                  </to>
                </anchor>
              </controlPr>
            </control>
          </mc:Choice>
        </mc:AlternateContent>
        <mc:AlternateContent xmlns:mc="http://schemas.openxmlformats.org/markup-compatibility/2006">
          <mc:Choice Requires="x14">
            <control shapeId="39718" r:id="rId85" name="Option Button 806">
              <controlPr defaultSize="0" autoFill="0" autoLine="0" autoPict="0">
                <anchor moveWithCells="1">
                  <from>
                    <xdr:col>3</xdr:col>
                    <xdr:colOff>975360</xdr:colOff>
                    <xdr:row>9</xdr:row>
                    <xdr:rowOff>7620</xdr:rowOff>
                  </from>
                  <to>
                    <xdr:col>3</xdr:col>
                    <xdr:colOff>1447800</xdr:colOff>
                    <xdr:row>9</xdr:row>
                    <xdr:rowOff>236220</xdr:rowOff>
                  </to>
                </anchor>
              </controlPr>
            </control>
          </mc:Choice>
        </mc:AlternateContent>
        <mc:AlternateContent xmlns:mc="http://schemas.openxmlformats.org/markup-compatibility/2006">
          <mc:Choice Requires="x14">
            <control shapeId="39720" r:id="rId86" name="M4a_Group">
              <controlPr defaultSize="0" autoFill="0" autoPict="0">
                <anchor moveWithCells="1">
                  <from>
                    <xdr:col>3</xdr:col>
                    <xdr:colOff>22860</xdr:colOff>
                    <xdr:row>8</xdr:row>
                    <xdr:rowOff>259080</xdr:rowOff>
                  </from>
                  <to>
                    <xdr:col>3</xdr:col>
                    <xdr:colOff>2849880</xdr:colOff>
                    <xdr:row>9</xdr:row>
                    <xdr:rowOff>251460</xdr:rowOff>
                  </to>
                </anchor>
              </controlPr>
            </control>
          </mc:Choice>
        </mc:AlternateContent>
        <mc:AlternateContent xmlns:mc="http://schemas.openxmlformats.org/markup-compatibility/2006">
          <mc:Choice Requires="x14">
            <control shapeId="39727" r:id="rId87" name="Option Button 815">
              <controlPr defaultSize="0" autoFill="0" autoLine="0" autoPict="0">
                <anchor moveWithCells="1">
                  <from>
                    <xdr:col>3</xdr:col>
                    <xdr:colOff>76200</xdr:colOff>
                    <xdr:row>12</xdr:row>
                    <xdr:rowOff>7620</xdr:rowOff>
                  </from>
                  <to>
                    <xdr:col>3</xdr:col>
                    <xdr:colOff>556260</xdr:colOff>
                    <xdr:row>12</xdr:row>
                    <xdr:rowOff>236220</xdr:rowOff>
                  </to>
                </anchor>
              </controlPr>
            </control>
          </mc:Choice>
        </mc:AlternateContent>
        <mc:AlternateContent xmlns:mc="http://schemas.openxmlformats.org/markup-compatibility/2006">
          <mc:Choice Requires="x14">
            <control shapeId="39728" r:id="rId88" name="Option Button 816">
              <controlPr defaultSize="0" autoFill="0" autoLine="0" autoPict="0">
                <anchor moveWithCells="1">
                  <from>
                    <xdr:col>3</xdr:col>
                    <xdr:colOff>533400</xdr:colOff>
                    <xdr:row>12</xdr:row>
                    <xdr:rowOff>7620</xdr:rowOff>
                  </from>
                  <to>
                    <xdr:col>3</xdr:col>
                    <xdr:colOff>1013460</xdr:colOff>
                    <xdr:row>12</xdr:row>
                    <xdr:rowOff>236220</xdr:rowOff>
                  </to>
                </anchor>
              </controlPr>
            </control>
          </mc:Choice>
        </mc:AlternateContent>
        <mc:AlternateContent xmlns:mc="http://schemas.openxmlformats.org/markup-compatibility/2006">
          <mc:Choice Requires="x14">
            <control shapeId="39729" r:id="rId89" name="Option Button 817">
              <controlPr defaultSize="0" autoFill="0" autoLine="0" autoPict="0">
                <anchor moveWithCells="1">
                  <from>
                    <xdr:col>3</xdr:col>
                    <xdr:colOff>1242060</xdr:colOff>
                    <xdr:row>12</xdr:row>
                    <xdr:rowOff>7620</xdr:rowOff>
                  </from>
                  <to>
                    <xdr:col>3</xdr:col>
                    <xdr:colOff>2316480</xdr:colOff>
                    <xdr:row>12</xdr:row>
                    <xdr:rowOff>228600</xdr:rowOff>
                  </to>
                </anchor>
              </controlPr>
            </control>
          </mc:Choice>
        </mc:AlternateContent>
        <mc:AlternateContent xmlns:mc="http://schemas.openxmlformats.org/markup-compatibility/2006">
          <mc:Choice Requires="x14">
            <control shapeId="39730" r:id="rId90" name="M5a_Group">
              <controlPr defaultSize="0" autoFill="0" autoPict="0">
                <anchor moveWithCells="1">
                  <from>
                    <xdr:col>3</xdr:col>
                    <xdr:colOff>22860</xdr:colOff>
                    <xdr:row>12</xdr:row>
                    <xdr:rowOff>0</xdr:rowOff>
                  </from>
                  <to>
                    <xdr:col>3</xdr:col>
                    <xdr:colOff>2849880</xdr:colOff>
                    <xdr:row>12</xdr:row>
                    <xdr:rowOff>251460</xdr:rowOff>
                  </to>
                </anchor>
              </controlPr>
            </control>
          </mc:Choice>
        </mc:AlternateContent>
        <mc:AlternateContent xmlns:mc="http://schemas.openxmlformats.org/markup-compatibility/2006">
          <mc:Choice Requires="x14">
            <control shapeId="39731" r:id="rId91" name="Option Button 819">
              <controlPr defaultSize="0" autoFill="0" autoLine="0" autoPict="0">
                <anchor moveWithCells="1">
                  <from>
                    <xdr:col>3</xdr:col>
                    <xdr:colOff>76200</xdr:colOff>
                    <xdr:row>13</xdr:row>
                    <xdr:rowOff>30480</xdr:rowOff>
                  </from>
                  <to>
                    <xdr:col>3</xdr:col>
                    <xdr:colOff>556260</xdr:colOff>
                    <xdr:row>13</xdr:row>
                    <xdr:rowOff>251460</xdr:rowOff>
                  </to>
                </anchor>
              </controlPr>
            </control>
          </mc:Choice>
        </mc:AlternateContent>
        <mc:AlternateContent xmlns:mc="http://schemas.openxmlformats.org/markup-compatibility/2006">
          <mc:Choice Requires="x14">
            <control shapeId="39732" r:id="rId92" name="Option Button 820">
              <controlPr defaultSize="0" autoFill="0" autoLine="0" autoPict="0" altText="No">
                <anchor moveWithCells="1">
                  <from>
                    <xdr:col>3</xdr:col>
                    <xdr:colOff>533400</xdr:colOff>
                    <xdr:row>13</xdr:row>
                    <xdr:rowOff>30480</xdr:rowOff>
                  </from>
                  <to>
                    <xdr:col>3</xdr:col>
                    <xdr:colOff>1013460</xdr:colOff>
                    <xdr:row>13</xdr:row>
                    <xdr:rowOff>251460</xdr:rowOff>
                  </to>
                </anchor>
              </controlPr>
            </control>
          </mc:Choice>
        </mc:AlternateContent>
        <mc:AlternateContent xmlns:mc="http://schemas.openxmlformats.org/markup-compatibility/2006">
          <mc:Choice Requires="x14">
            <control shapeId="39733" r:id="rId93" name="M6a_Group">
              <controlPr defaultSize="0" autoFill="0" autoPict="0">
                <anchor moveWithCells="1">
                  <from>
                    <xdr:col>3</xdr:col>
                    <xdr:colOff>0</xdr:colOff>
                    <xdr:row>13</xdr:row>
                    <xdr:rowOff>0</xdr:rowOff>
                  </from>
                  <to>
                    <xdr:col>3</xdr:col>
                    <xdr:colOff>1143000</xdr:colOff>
                    <xdr:row>14</xdr:row>
                    <xdr:rowOff>0</xdr:rowOff>
                  </to>
                </anchor>
              </controlPr>
            </control>
          </mc:Choice>
        </mc:AlternateContent>
        <mc:AlternateContent xmlns:mc="http://schemas.openxmlformats.org/markup-compatibility/2006">
          <mc:Choice Requires="x14">
            <control shapeId="39735" r:id="rId94" name="Option Button 823">
              <controlPr defaultSize="0" autoFill="0" autoLine="0" autoPict="0">
                <anchor moveWithCells="1">
                  <from>
                    <xdr:col>3</xdr:col>
                    <xdr:colOff>2011680</xdr:colOff>
                    <xdr:row>14</xdr:row>
                    <xdr:rowOff>22860</xdr:rowOff>
                  </from>
                  <to>
                    <xdr:col>3</xdr:col>
                    <xdr:colOff>2385060</xdr:colOff>
                    <xdr:row>14</xdr:row>
                    <xdr:rowOff>251460</xdr:rowOff>
                  </to>
                </anchor>
              </controlPr>
            </control>
          </mc:Choice>
        </mc:AlternateContent>
        <mc:AlternateContent xmlns:mc="http://schemas.openxmlformats.org/markup-compatibility/2006">
          <mc:Choice Requires="x14">
            <control shapeId="39736" r:id="rId95" name="Option Button 824">
              <controlPr defaultSize="0" autoFill="0" autoLine="0" autoPict="0">
                <anchor moveWithCells="1">
                  <from>
                    <xdr:col>3</xdr:col>
                    <xdr:colOff>76200</xdr:colOff>
                    <xdr:row>16</xdr:row>
                    <xdr:rowOff>76200</xdr:rowOff>
                  </from>
                  <to>
                    <xdr:col>3</xdr:col>
                    <xdr:colOff>556260</xdr:colOff>
                    <xdr:row>16</xdr:row>
                    <xdr:rowOff>304800</xdr:rowOff>
                  </to>
                </anchor>
              </controlPr>
            </control>
          </mc:Choice>
        </mc:AlternateContent>
        <mc:AlternateContent xmlns:mc="http://schemas.openxmlformats.org/markup-compatibility/2006">
          <mc:Choice Requires="x14">
            <control shapeId="39737" r:id="rId96" name="Option Button 825">
              <controlPr defaultSize="0" autoFill="0" autoLine="0" autoPict="0">
                <anchor moveWithCells="1">
                  <from>
                    <xdr:col>3</xdr:col>
                    <xdr:colOff>525780</xdr:colOff>
                    <xdr:row>16</xdr:row>
                    <xdr:rowOff>76200</xdr:rowOff>
                  </from>
                  <to>
                    <xdr:col>3</xdr:col>
                    <xdr:colOff>1013460</xdr:colOff>
                    <xdr:row>16</xdr:row>
                    <xdr:rowOff>304800</xdr:rowOff>
                  </to>
                </anchor>
              </controlPr>
            </control>
          </mc:Choice>
        </mc:AlternateContent>
        <mc:AlternateContent xmlns:mc="http://schemas.openxmlformats.org/markup-compatibility/2006">
          <mc:Choice Requires="x14">
            <control shapeId="39738" r:id="rId97" name="Option Button 826">
              <controlPr defaultSize="0" autoFill="0" autoLine="0" autoPict="0">
                <anchor moveWithCells="1">
                  <from>
                    <xdr:col>3</xdr:col>
                    <xdr:colOff>975360</xdr:colOff>
                    <xdr:row>16</xdr:row>
                    <xdr:rowOff>76200</xdr:rowOff>
                  </from>
                  <to>
                    <xdr:col>3</xdr:col>
                    <xdr:colOff>1447800</xdr:colOff>
                    <xdr:row>16</xdr:row>
                    <xdr:rowOff>304800</xdr:rowOff>
                  </to>
                </anchor>
              </controlPr>
            </control>
          </mc:Choice>
        </mc:AlternateContent>
        <mc:AlternateContent xmlns:mc="http://schemas.openxmlformats.org/markup-compatibility/2006">
          <mc:Choice Requires="x14">
            <control shapeId="39739" r:id="rId98" name="M7b_Group">
              <controlPr defaultSize="0" autoFill="0" autoPict="0">
                <anchor moveWithCells="1">
                  <from>
                    <xdr:col>3</xdr:col>
                    <xdr:colOff>22860</xdr:colOff>
                    <xdr:row>16</xdr:row>
                    <xdr:rowOff>0</xdr:rowOff>
                  </from>
                  <to>
                    <xdr:col>3</xdr:col>
                    <xdr:colOff>2849880</xdr:colOff>
                    <xdr:row>16</xdr:row>
                    <xdr:rowOff>251460</xdr:rowOff>
                  </to>
                </anchor>
              </controlPr>
            </control>
          </mc:Choice>
        </mc:AlternateContent>
        <mc:AlternateContent xmlns:mc="http://schemas.openxmlformats.org/markup-compatibility/2006">
          <mc:Choice Requires="x14">
            <control shapeId="39740" r:id="rId99" name="Option Button 828">
              <controlPr defaultSize="0" autoFill="0" autoLine="0" autoPict="0">
                <anchor moveWithCells="1">
                  <from>
                    <xdr:col>3</xdr:col>
                    <xdr:colOff>76200</xdr:colOff>
                    <xdr:row>19</xdr:row>
                    <xdr:rowOff>30480</xdr:rowOff>
                  </from>
                  <to>
                    <xdr:col>3</xdr:col>
                    <xdr:colOff>556260</xdr:colOff>
                    <xdr:row>19</xdr:row>
                    <xdr:rowOff>251460</xdr:rowOff>
                  </to>
                </anchor>
              </controlPr>
            </control>
          </mc:Choice>
        </mc:AlternateContent>
        <mc:AlternateContent xmlns:mc="http://schemas.openxmlformats.org/markup-compatibility/2006">
          <mc:Choice Requires="x14">
            <control shapeId="39741" r:id="rId100" name="Option Button 829">
              <controlPr defaultSize="0" autoFill="0" autoLine="0" autoPict="0" altText="No">
                <anchor moveWithCells="1">
                  <from>
                    <xdr:col>3</xdr:col>
                    <xdr:colOff>525780</xdr:colOff>
                    <xdr:row>19</xdr:row>
                    <xdr:rowOff>30480</xdr:rowOff>
                  </from>
                  <to>
                    <xdr:col>3</xdr:col>
                    <xdr:colOff>1013460</xdr:colOff>
                    <xdr:row>19</xdr:row>
                    <xdr:rowOff>251460</xdr:rowOff>
                  </to>
                </anchor>
              </controlPr>
            </control>
          </mc:Choice>
        </mc:AlternateContent>
        <mc:AlternateContent xmlns:mc="http://schemas.openxmlformats.org/markup-compatibility/2006">
          <mc:Choice Requires="x14">
            <control shapeId="39742" r:id="rId101" name="M9b_Group">
              <controlPr defaultSize="0" autoFill="0" autoPict="0">
                <anchor moveWithCells="1">
                  <from>
                    <xdr:col>3</xdr:col>
                    <xdr:colOff>0</xdr:colOff>
                    <xdr:row>19</xdr:row>
                    <xdr:rowOff>0</xdr:rowOff>
                  </from>
                  <to>
                    <xdr:col>3</xdr:col>
                    <xdr:colOff>1135380</xdr:colOff>
                    <xdr:row>20</xdr:row>
                    <xdr:rowOff>0</xdr:rowOff>
                  </to>
                </anchor>
              </controlPr>
            </control>
          </mc:Choice>
        </mc:AlternateContent>
        <mc:AlternateContent xmlns:mc="http://schemas.openxmlformats.org/markup-compatibility/2006">
          <mc:Choice Requires="x14">
            <control shapeId="39746" r:id="rId102" name="M14a_Radio0">
              <controlPr defaultSize="0" autoFill="0" autoLine="0" autoPict="0">
                <anchor moveWithCells="1">
                  <from>
                    <xdr:col>3</xdr:col>
                    <xdr:colOff>76200</xdr:colOff>
                    <xdr:row>27</xdr:row>
                    <xdr:rowOff>22860</xdr:rowOff>
                  </from>
                  <to>
                    <xdr:col>3</xdr:col>
                    <xdr:colOff>411480</xdr:colOff>
                    <xdr:row>27</xdr:row>
                    <xdr:rowOff>236220</xdr:rowOff>
                  </to>
                </anchor>
              </controlPr>
            </control>
          </mc:Choice>
        </mc:AlternateContent>
        <mc:AlternateContent xmlns:mc="http://schemas.openxmlformats.org/markup-compatibility/2006">
          <mc:Choice Requires="x14">
            <control shapeId="39747" r:id="rId103" name="M14a_Radio1">
              <controlPr defaultSize="0" autoFill="0" autoLine="0" autoPict="0">
                <anchor moveWithCells="1">
                  <from>
                    <xdr:col>3</xdr:col>
                    <xdr:colOff>525780</xdr:colOff>
                    <xdr:row>27</xdr:row>
                    <xdr:rowOff>22860</xdr:rowOff>
                  </from>
                  <to>
                    <xdr:col>3</xdr:col>
                    <xdr:colOff>861060</xdr:colOff>
                    <xdr:row>27</xdr:row>
                    <xdr:rowOff>236220</xdr:rowOff>
                  </to>
                </anchor>
              </controlPr>
            </control>
          </mc:Choice>
        </mc:AlternateContent>
        <mc:AlternateContent xmlns:mc="http://schemas.openxmlformats.org/markup-compatibility/2006">
          <mc:Choice Requires="x14">
            <control shapeId="39748" r:id="rId104" name="M14a_Radio2">
              <controlPr defaultSize="0" autoFill="0" autoLine="0" autoPict="0">
                <anchor moveWithCells="1">
                  <from>
                    <xdr:col>3</xdr:col>
                    <xdr:colOff>975360</xdr:colOff>
                    <xdr:row>27</xdr:row>
                    <xdr:rowOff>22860</xdr:rowOff>
                  </from>
                  <to>
                    <xdr:col>3</xdr:col>
                    <xdr:colOff>1402080</xdr:colOff>
                    <xdr:row>27</xdr:row>
                    <xdr:rowOff>251460</xdr:rowOff>
                  </to>
                </anchor>
              </controlPr>
            </control>
          </mc:Choice>
        </mc:AlternateContent>
        <mc:AlternateContent xmlns:mc="http://schemas.openxmlformats.org/markup-compatibility/2006">
          <mc:Choice Requires="x14">
            <control shapeId="39749" r:id="rId105" name="M14a_Radio3">
              <controlPr defaultSize="0" autoFill="0" autoLine="0" autoPict="0" macro="[0]!validateSeedCount">
                <anchor moveWithCells="1">
                  <from>
                    <xdr:col>3</xdr:col>
                    <xdr:colOff>1516380</xdr:colOff>
                    <xdr:row>27</xdr:row>
                    <xdr:rowOff>22860</xdr:rowOff>
                  </from>
                  <to>
                    <xdr:col>3</xdr:col>
                    <xdr:colOff>1897380</xdr:colOff>
                    <xdr:row>27</xdr:row>
                    <xdr:rowOff>251460</xdr:rowOff>
                  </to>
                </anchor>
              </controlPr>
            </control>
          </mc:Choice>
        </mc:AlternateContent>
        <mc:AlternateContent xmlns:mc="http://schemas.openxmlformats.org/markup-compatibility/2006">
          <mc:Choice Requires="x14">
            <control shapeId="39750" r:id="rId106" name="M14a_Radio4">
              <controlPr defaultSize="0" autoFill="0" autoLine="0" autoPict="0" macro="[0]!validateSeedCount">
                <anchor moveWithCells="1">
                  <from>
                    <xdr:col>3</xdr:col>
                    <xdr:colOff>2011680</xdr:colOff>
                    <xdr:row>27</xdr:row>
                    <xdr:rowOff>22860</xdr:rowOff>
                  </from>
                  <to>
                    <xdr:col>3</xdr:col>
                    <xdr:colOff>2385060</xdr:colOff>
                    <xdr:row>27</xdr:row>
                    <xdr:rowOff>236220</xdr:rowOff>
                  </to>
                </anchor>
              </controlPr>
            </control>
          </mc:Choice>
        </mc:AlternateContent>
        <mc:AlternateContent xmlns:mc="http://schemas.openxmlformats.org/markup-compatibility/2006">
          <mc:Choice Requires="x14">
            <control shapeId="39754" r:id="rId107" name="M14a_Group">
              <controlPr defaultSize="0" autoFill="0" autoPict="0">
                <anchor moveWithCells="1">
                  <from>
                    <xdr:col>3</xdr:col>
                    <xdr:colOff>0</xdr:colOff>
                    <xdr:row>27</xdr:row>
                    <xdr:rowOff>7620</xdr:rowOff>
                  </from>
                  <to>
                    <xdr:col>6</xdr:col>
                    <xdr:colOff>571500</xdr:colOff>
                    <xdr:row>27</xdr:row>
                    <xdr:rowOff>251460</xdr:rowOff>
                  </to>
                </anchor>
              </controlPr>
            </control>
          </mc:Choice>
        </mc:AlternateContent>
        <mc:AlternateContent xmlns:mc="http://schemas.openxmlformats.org/markup-compatibility/2006">
          <mc:Choice Requires="x14">
            <control shapeId="39759" r:id="rId108" name="M15c_Group">
              <controlPr defaultSize="0" autoFill="0" autoPict="0">
                <anchor moveWithCells="1">
                  <from>
                    <xdr:col>3</xdr:col>
                    <xdr:colOff>22860</xdr:colOff>
                    <xdr:row>31</xdr:row>
                    <xdr:rowOff>22860</xdr:rowOff>
                  </from>
                  <to>
                    <xdr:col>3</xdr:col>
                    <xdr:colOff>2849880</xdr:colOff>
                    <xdr:row>32</xdr:row>
                    <xdr:rowOff>0</xdr:rowOff>
                  </to>
                </anchor>
              </controlPr>
            </control>
          </mc:Choice>
        </mc:AlternateContent>
        <mc:AlternateContent xmlns:mc="http://schemas.openxmlformats.org/markup-compatibility/2006">
          <mc:Choice Requires="x14">
            <control shapeId="39765" r:id="rId109" name="M15b_Group">
              <controlPr defaultSize="0" autoFill="0" autoPict="0">
                <anchor moveWithCells="1">
                  <from>
                    <xdr:col>3</xdr:col>
                    <xdr:colOff>22860</xdr:colOff>
                    <xdr:row>30</xdr:row>
                    <xdr:rowOff>22860</xdr:rowOff>
                  </from>
                  <to>
                    <xdr:col>3</xdr:col>
                    <xdr:colOff>2849880</xdr:colOff>
                    <xdr:row>31</xdr:row>
                    <xdr:rowOff>0</xdr:rowOff>
                  </to>
                </anchor>
              </controlPr>
            </control>
          </mc:Choice>
        </mc:AlternateContent>
        <mc:AlternateContent xmlns:mc="http://schemas.openxmlformats.org/markup-compatibility/2006">
          <mc:Choice Requires="x14">
            <control shapeId="39766" r:id="rId110" name="M15a_Group">
              <controlPr defaultSize="0" autoFill="0" autoPict="0">
                <anchor moveWithCells="1">
                  <from>
                    <xdr:col>3</xdr:col>
                    <xdr:colOff>22860</xdr:colOff>
                    <xdr:row>28</xdr:row>
                    <xdr:rowOff>251460</xdr:rowOff>
                  </from>
                  <to>
                    <xdr:col>4</xdr:col>
                    <xdr:colOff>0</xdr:colOff>
                    <xdr:row>30</xdr:row>
                    <xdr:rowOff>0</xdr:rowOff>
                  </to>
                </anchor>
              </controlPr>
            </control>
          </mc:Choice>
        </mc:AlternateContent>
        <mc:AlternateContent xmlns:mc="http://schemas.openxmlformats.org/markup-compatibility/2006">
          <mc:Choice Requires="x14">
            <control shapeId="39767" r:id="rId111" name="Option Button 855">
              <controlPr defaultSize="0" autoFill="0" autoLine="0" autoPict="0">
                <anchor moveWithCells="1">
                  <from>
                    <xdr:col>3</xdr:col>
                    <xdr:colOff>76200</xdr:colOff>
                    <xdr:row>29</xdr:row>
                    <xdr:rowOff>30480</xdr:rowOff>
                  </from>
                  <to>
                    <xdr:col>3</xdr:col>
                    <xdr:colOff>556260</xdr:colOff>
                    <xdr:row>30</xdr:row>
                    <xdr:rowOff>0</xdr:rowOff>
                  </to>
                </anchor>
              </controlPr>
            </control>
          </mc:Choice>
        </mc:AlternateContent>
        <mc:AlternateContent xmlns:mc="http://schemas.openxmlformats.org/markup-compatibility/2006">
          <mc:Choice Requires="x14">
            <control shapeId="39768" r:id="rId112" name="Option Button 856">
              <controlPr defaultSize="0" autoFill="0" autoLine="0" autoPict="0">
                <anchor moveWithCells="1">
                  <from>
                    <xdr:col>3</xdr:col>
                    <xdr:colOff>525780</xdr:colOff>
                    <xdr:row>29</xdr:row>
                    <xdr:rowOff>30480</xdr:rowOff>
                  </from>
                  <to>
                    <xdr:col>3</xdr:col>
                    <xdr:colOff>1013460</xdr:colOff>
                    <xdr:row>30</xdr:row>
                    <xdr:rowOff>0</xdr:rowOff>
                  </to>
                </anchor>
              </controlPr>
            </control>
          </mc:Choice>
        </mc:AlternateContent>
        <mc:AlternateContent xmlns:mc="http://schemas.openxmlformats.org/markup-compatibility/2006">
          <mc:Choice Requires="x14">
            <control shapeId="39774" r:id="rId113" name="Option Button 862">
              <controlPr defaultSize="0" autoFill="0" autoLine="0" autoPict="0">
                <anchor moveWithCells="1">
                  <from>
                    <xdr:col>3</xdr:col>
                    <xdr:colOff>76200</xdr:colOff>
                    <xdr:row>30</xdr:row>
                    <xdr:rowOff>30480</xdr:rowOff>
                  </from>
                  <to>
                    <xdr:col>3</xdr:col>
                    <xdr:colOff>556260</xdr:colOff>
                    <xdr:row>31</xdr:row>
                    <xdr:rowOff>0</xdr:rowOff>
                  </to>
                </anchor>
              </controlPr>
            </control>
          </mc:Choice>
        </mc:AlternateContent>
        <mc:AlternateContent xmlns:mc="http://schemas.openxmlformats.org/markup-compatibility/2006">
          <mc:Choice Requires="x14">
            <control shapeId="39775" r:id="rId114" name="Option Button 863">
              <controlPr defaultSize="0" autoFill="0" autoLine="0" autoPict="0">
                <anchor moveWithCells="1">
                  <from>
                    <xdr:col>3</xdr:col>
                    <xdr:colOff>525780</xdr:colOff>
                    <xdr:row>30</xdr:row>
                    <xdr:rowOff>30480</xdr:rowOff>
                  </from>
                  <to>
                    <xdr:col>3</xdr:col>
                    <xdr:colOff>998220</xdr:colOff>
                    <xdr:row>31</xdr:row>
                    <xdr:rowOff>0</xdr:rowOff>
                  </to>
                </anchor>
              </controlPr>
            </control>
          </mc:Choice>
        </mc:AlternateContent>
        <mc:AlternateContent xmlns:mc="http://schemas.openxmlformats.org/markup-compatibility/2006">
          <mc:Choice Requires="x14">
            <control shapeId="39776" r:id="rId115" name="Option Button 864">
              <controlPr defaultSize="0" autoFill="0" autoLine="0" autoPict="0">
                <anchor moveWithCells="1">
                  <from>
                    <xdr:col>3</xdr:col>
                    <xdr:colOff>76200</xdr:colOff>
                    <xdr:row>31</xdr:row>
                    <xdr:rowOff>30480</xdr:rowOff>
                  </from>
                  <to>
                    <xdr:col>3</xdr:col>
                    <xdr:colOff>556260</xdr:colOff>
                    <xdr:row>32</xdr:row>
                    <xdr:rowOff>0</xdr:rowOff>
                  </to>
                </anchor>
              </controlPr>
            </control>
          </mc:Choice>
        </mc:AlternateContent>
        <mc:AlternateContent xmlns:mc="http://schemas.openxmlformats.org/markup-compatibility/2006">
          <mc:Choice Requires="x14">
            <control shapeId="39777" r:id="rId116" name="Option Button 865">
              <controlPr defaultSize="0" autoFill="0" autoLine="0" autoPict="0">
                <anchor moveWithCells="1">
                  <from>
                    <xdr:col>3</xdr:col>
                    <xdr:colOff>525780</xdr:colOff>
                    <xdr:row>31</xdr:row>
                    <xdr:rowOff>30480</xdr:rowOff>
                  </from>
                  <to>
                    <xdr:col>3</xdr:col>
                    <xdr:colOff>998220</xdr:colOff>
                    <xdr:row>32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BW2857"/>
  <sheetViews>
    <sheetView showGridLines="0" zoomScale="110" zoomScaleNormal="110" zoomScalePageLayoutView="110" workbookViewId="0">
      <selection activeCell="C5" sqref="C5"/>
      <extLst>
        <ext xmlns:xlsdti="http://schemas.microsoft.com/office/spreadsheetml/2023/showDataTypeIcons" uri="{77bfe23e-c014-4d31-8a63-9c772dbf06b6}">
          <xlsdti:showDataTypeIcons visible="0"/>
        </ext>
      </extLst>
    </sheetView>
  </sheetViews>
  <sheetFormatPr defaultColWidth="9" defaultRowHeight="20.25" customHeight="1" x14ac:dyDescent="0.25"/>
  <cols>
    <col min="1" max="1" width="9.33203125" style="2" customWidth="1"/>
    <col min="2" max="2" width="10.33203125" style="2" customWidth="1"/>
    <col min="3" max="4" width="6.6640625" style="2" customWidth="1"/>
    <col min="5" max="5" width="10.33203125" style="2" customWidth="1"/>
    <col min="6" max="7" width="6.6640625" style="2" customWidth="1"/>
    <col min="8" max="8" width="10.33203125" style="2" customWidth="1"/>
    <col min="9" max="10" width="6.6640625" style="2" customWidth="1"/>
    <col min="11" max="11" width="10.33203125" style="2" customWidth="1"/>
    <col min="12" max="13" width="6.6640625" style="2" customWidth="1"/>
    <col min="14" max="14" width="2" style="78" customWidth="1"/>
    <col min="15" max="15" width="3.33203125" style="3" customWidth="1"/>
    <col min="16" max="16" width="134" style="1" customWidth="1"/>
    <col min="17" max="17" width="10.33203125" style="4" customWidth="1"/>
    <col min="18" max="19" width="10.33203125" style="4" hidden="1" customWidth="1"/>
    <col min="20" max="20" width="11" style="5" customWidth="1"/>
    <col min="21" max="21" width="8.33203125" style="4" bestFit="1" customWidth="1"/>
    <col min="22" max="22" width="9" style="4" bestFit="1"/>
    <col min="23" max="23" width="7.5546875" style="4" bestFit="1" customWidth="1"/>
    <col min="24" max="24" width="2.5546875" style="4" customWidth="1"/>
    <col min="25" max="25" width="2.5546875" style="2" customWidth="1"/>
    <col min="26" max="26" width="25.33203125" style="2" hidden="1" customWidth="1"/>
    <col min="27" max="27" width="7" style="2" hidden="1" customWidth="1"/>
    <col min="28" max="31" width="1.33203125" style="2" hidden="1" customWidth="1"/>
    <col min="32" max="32" width="26.33203125" style="2" hidden="1" customWidth="1"/>
    <col min="33" max="33" width="7" style="2" hidden="1" customWidth="1"/>
    <col min="34" max="36" width="1" style="2" hidden="1" customWidth="1"/>
    <col min="37" max="37" width="26.33203125" style="2" hidden="1" customWidth="1"/>
    <col min="38" max="38" width="7" style="2" hidden="1" customWidth="1"/>
    <col min="39" max="41" width="1.33203125" style="2" hidden="1" customWidth="1"/>
    <col min="42" max="42" width="26" style="2" hidden="1" customWidth="1"/>
    <col min="43" max="43" width="7" style="2" hidden="1" customWidth="1"/>
    <col min="44" max="45" width="2" style="2" hidden="1" customWidth="1"/>
    <col min="46" max="46" width="5.6640625" style="5" hidden="1" customWidth="1"/>
    <col min="47" max="47" width="9.33203125" style="2" hidden="1" customWidth="1"/>
    <col min="48" max="48" width="4.33203125" style="2" hidden="1" customWidth="1"/>
    <col min="49" max="49" width="5.6640625" style="2" hidden="1" customWidth="1"/>
    <col min="50" max="50" width="15" style="2" hidden="1" customWidth="1"/>
    <col min="51" max="51" width="6.5546875" style="2" hidden="1" customWidth="1"/>
    <col min="52" max="16384" width="9" style="2"/>
  </cols>
  <sheetData>
    <row r="1" spans="1:56" ht="20.25" customHeight="1" thickBot="1" x14ac:dyDescent="0.3">
      <c r="A1" s="62"/>
      <c r="B1" s="63"/>
      <c r="C1" s="63"/>
      <c r="D1" s="63"/>
      <c r="E1" s="63"/>
      <c r="F1" s="63"/>
      <c r="G1" s="63"/>
      <c r="H1" s="63"/>
      <c r="I1" s="63"/>
      <c r="J1" s="63"/>
      <c r="K1" s="63"/>
      <c r="L1" s="63"/>
      <c r="M1" s="64"/>
      <c r="N1" s="73"/>
      <c r="O1" s="66"/>
      <c r="P1" s="62"/>
      <c r="R1" s="166" t="s">
        <v>13</v>
      </c>
      <c r="S1" s="166"/>
      <c r="T1" s="166"/>
      <c r="U1" s="166"/>
      <c r="V1" s="166"/>
      <c r="W1" s="166"/>
      <c r="X1" s="166"/>
      <c r="AB1" s="1"/>
      <c r="AC1" s="1"/>
      <c r="AI1" s="1"/>
      <c r="AJ1" s="1"/>
      <c r="AK1" s="1"/>
      <c r="AL1" s="1"/>
      <c r="AM1" s="1"/>
      <c r="AN1" s="1"/>
      <c r="AO1" s="1"/>
      <c r="AP1" s="1"/>
      <c r="AX1" s="4" t="s">
        <v>48</v>
      </c>
    </row>
    <row r="2" spans="1:56" s="6" customFormat="1" ht="20.25" customHeight="1" thickBot="1" x14ac:dyDescent="0.3">
      <c r="A2" s="67"/>
      <c r="B2" s="178" t="s">
        <v>56</v>
      </c>
      <c r="C2" s="179"/>
      <c r="D2" s="179"/>
      <c r="E2" s="179"/>
      <c r="F2" s="179"/>
      <c r="G2" s="179"/>
      <c r="H2" s="179"/>
      <c r="I2" s="179"/>
      <c r="J2" s="179"/>
      <c r="K2" s="179"/>
      <c r="L2" s="179"/>
      <c r="M2" s="180"/>
      <c r="N2" s="74"/>
      <c r="O2" s="68"/>
      <c r="P2" s="67"/>
      <c r="Q2" s="4"/>
      <c r="R2" s="166" t="s">
        <v>47</v>
      </c>
      <c r="S2" s="166"/>
      <c r="T2" s="166"/>
      <c r="U2" s="166"/>
      <c r="V2" s="166"/>
      <c r="W2" s="166"/>
      <c r="X2" s="166"/>
      <c r="Y2" s="1"/>
      <c r="Z2" s="94" t="s">
        <v>19</v>
      </c>
      <c r="AA2" s="95"/>
      <c r="AB2" s="94"/>
      <c r="AC2" s="1"/>
      <c r="AD2" s="1"/>
      <c r="AF2" s="94" t="s">
        <v>20</v>
      </c>
      <c r="AG2" s="94"/>
      <c r="AH2" s="94"/>
      <c r="AI2" s="94"/>
      <c r="AJ2" s="95"/>
      <c r="AK2" s="94" t="s">
        <v>21</v>
      </c>
      <c r="AL2" s="94"/>
      <c r="AM2" s="94"/>
      <c r="AN2" s="94"/>
      <c r="AO2" s="94"/>
      <c r="AP2" s="94" t="s">
        <v>22</v>
      </c>
      <c r="AQ2" s="94"/>
      <c r="AR2" s="1"/>
      <c r="AS2" s="1"/>
      <c r="AT2" s="98" t="s">
        <v>50</v>
      </c>
      <c r="AX2" s="4" t="s">
        <v>49</v>
      </c>
    </row>
    <row r="3" spans="1:56" s="6" customFormat="1" ht="20.25" customHeight="1" thickBot="1" x14ac:dyDescent="0.3">
      <c r="A3" s="67"/>
      <c r="B3" s="175" t="s">
        <v>51</v>
      </c>
      <c r="C3" s="176"/>
      <c r="D3" s="177"/>
      <c r="E3" s="175" t="s">
        <v>52</v>
      </c>
      <c r="F3" s="176"/>
      <c r="G3" s="177"/>
      <c r="H3" s="175" t="s">
        <v>53</v>
      </c>
      <c r="I3" s="176"/>
      <c r="J3" s="177"/>
      <c r="K3" s="175" t="s">
        <v>54</v>
      </c>
      <c r="L3" s="176"/>
      <c r="M3" s="177"/>
      <c r="N3" s="75"/>
      <c r="O3" s="68"/>
      <c r="P3" s="67"/>
      <c r="Q3" s="4"/>
      <c r="R3" s="166"/>
      <c r="S3" s="166"/>
      <c r="T3" s="166"/>
      <c r="U3" s="166"/>
      <c r="V3" s="166"/>
      <c r="W3" s="166"/>
      <c r="X3" s="166"/>
      <c r="Z3" s="94" t="s">
        <v>15</v>
      </c>
      <c r="AA3" s="94"/>
      <c r="AB3" s="94"/>
      <c r="AC3" s="1"/>
      <c r="AD3" s="1"/>
      <c r="AF3" s="94" t="s">
        <v>0</v>
      </c>
      <c r="AG3" s="94"/>
      <c r="AH3" s="94"/>
      <c r="AI3" s="94"/>
      <c r="AJ3" s="95"/>
      <c r="AK3" s="94" t="s">
        <v>16</v>
      </c>
      <c r="AL3" s="94"/>
      <c r="AM3" s="94"/>
      <c r="AN3" s="94"/>
      <c r="AO3" s="94"/>
      <c r="AP3" s="94" t="s">
        <v>23</v>
      </c>
      <c r="AQ3" s="94"/>
      <c r="AR3" s="1"/>
      <c r="AS3" s="1"/>
      <c r="AT3" s="7"/>
      <c r="AW3" s="4"/>
      <c r="AX3" s="4"/>
    </row>
    <row r="4" spans="1:56" s="6" customFormat="1" ht="20.25" customHeight="1" thickBot="1" x14ac:dyDescent="0.3">
      <c r="A4" s="67"/>
      <c r="B4" s="8" t="s">
        <v>3</v>
      </c>
      <c r="C4" s="9" t="s">
        <v>4</v>
      </c>
      <c r="D4" s="10" t="s">
        <v>5</v>
      </c>
      <c r="E4" s="11" t="s">
        <v>3</v>
      </c>
      <c r="F4" s="9" t="s">
        <v>4</v>
      </c>
      <c r="G4" s="12" t="s">
        <v>5</v>
      </c>
      <c r="H4" s="11" t="s">
        <v>3</v>
      </c>
      <c r="I4" s="9" t="s">
        <v>4</v>
      </c>
      <c r="J4" s="12" t="s">
        <v>5</v>
      </c>
      <c r="K4" s="11" t="s">
        <v>3</v>
      </c>
      <c r="L4" s="9" t="s">
        <v>4</v>
      </c>
      <c r="M4" s="12" t="s">
        <v>5</v>
      </c>
      <c r="N4" s="73"/>
      <c r="O4" s="68"/>
      <c r="P4" s="67"/>
      <c r="R4" s="167"/>
      <c r="S4" s="168"/>
      <c r="T4" s="55"/>
      <c r="U4" s="169" t="s">
        <v>59</v>
      </c>
      <c r="V4" s="170"/>
      <c r="W4" s="171"/>
      <c r="X4"/>
      <c r="Y4" s="1"/>
      <c r="Z4" s="94" t="s">
        <v>14</v>
      </c>
      <c r="AA4" s="94"/>
      <c r="AB4" s="94"/>
      <c r="AC4" s="1"/>
      <c r="AD4" s="1"/>
      <c r="AE4" s="1"/>
      <c r="AF4" s="94" t="s">
        <v>17</v>
      </c>
      <c r="AG4" s="94"/>
      <c r="AH4" s="94"/>
      <c r="AI4" s="94"/>
      <c r="AJ4" s="94"/>
      <c r="AK4" s="94" t="s">
        <v>18</v>
      </c>
      <c r="AL4" s="94"/>
      <c r="AM4" s="94"/>
      <c r="AN4" s="94"/>
      <c r="AO4" s="94"/>
      <c r="AP4" s="94" t="s">
        <v>24</v>
      </c>
      <c r="AQ4" s="94"/>
      <c r="AR4" s="1"/>
      <c r="AS4" s="1"/>
      <c r="AU4" s="4" t="s">
        <v>26</v>
      </c>
      <c r="AW4" s="4"/>
      <c r="AX4" s="4" t="s">
        <v>29</v>
      </c>
      <c r="AY4" s="4"/>
    </row>
    <row r="5" spans="1:56" ht="20.25" customHeight="1" x14ac:dyDescent="0.25">
      <c r="A5" s="65"/>
      <c r="B5" s="86">
        <f>IF('Team Data'!B8="","",'Team Data'!B8)</f>
        <v>1</v>
      </c>
      <c r="C5" s="87"/>
      <c r="D5" s="88" t="str">
        <f>IF($C$5="","",RANK(AU6,($AU$6:$AU$85),0))</f>
        <v/>
      </c>
      <c r="E5" s="86">
        <f>IF('Team Data'!B9="","",'Team Data'!B9)</f>
        <v>2</v>
      </c>
      <c r="F5" s="87"/>
      <c r="G5" s="88" t="str">
        <f>IF($F$5="","",RANK(AU26,($AU$6:$AU$85),0))</f>
        <v/>
      </c>
      <c r="H5" s="86">
        <f>IF('Team Data'!B10="","",'Team Data'!B10)</f>
        <v>3</v>
      </c>
      <c r="I5" s="87"/>
      <c r="J5" s="88" t="str">
        <f>IF($I$5="","",RANK(AU46,($AU$6:$AU$85),0))</f>
        <v/>
      </c>
      <c r="K5" s="86">
        <f>IF('Team Data'!B11="","",'Team Data'!B11)</f>
        <v>4</v>
      </c>
      <c r="L5" s="87"/>
      <c r="M5" s="88" t="str">
        <f>IF($L$5="","",RANK(AU66,($AU$6:$AU$85),0))</f>
        <v/>
      </c>
      <c r="N5" s="73"/>
      <c r="O5" s="66"/>
      <c r="P5" s="62"/>
      <c r="Q5" s="107" t="s">
        <v>28</v>
      </c>
      <c r="R5" s="164" t="s">
        <v>60</v>
      </c>
      <c r="S5" s="165"/>
      <c r="T5" s="58" t="s">
        <v>8</v>
      </c>
      <c r="U5" s="102" t="s">
        <v>12</v>
      </c>
      <c r="V5" s="103" t="s">
        <v>10</v>
      </c>
      <c r="W5" s="104" t="s">
        <v>11</v>
      </c>
      <c r="X5"/>
      <c r="Y5" s="1"/>
      <c r="Z5" s="15" t="s">
        <v>7</v>
      </c>
      <c r="AA5" s="13" t="s">
        <v>9</v>
      </c>
      <c r="AC5" s="1"/>
      <c r="AF5" s="16" t="s">
        <v>7</v>
      </c>
      <c r="AG5" s="17" t="s">
        <v>9</v>
      </c>
      <c r="AH5" s="1"/>
      <c r="AI5" s="1"/>
      <c r="AK5" s="5" t="s">
        <v>7</v>
      </c>
      <c r="AL5" s="4" t="s">
        <v>9</v>
      </c>
      <c r="AM5" s="1"/>
      <c r="AN5" s="1"/>
      <c r="AP5" s="5" t="s">
        <v>7</v>
      </c>
      <c r="AQ5" s="4" t="s">
        <v>9</v>
      </c>
      <c r="AS5" s="1"/>
      <c r="AT5" s="15" t="s">
        <v>7</v>
      </c>
      <c r="AU5" s="18" t="s">
        <v>25</v>
      </c>
      <c r="AV5" s="1"/>
      <c r="AW5" s="5" t="s">
        <v>7</v>
      </c>
      <c r="AX5" s="4" t="s">
        <v>25</v>
      </c>
      <c r="AY5" s="2" t="s">
        <v>46</v>
      </c>
    </row>
    <row r="6" spans="1:56" ht="20.25" customHeight="1" x14ac:dyDescent="0.25">
      <c r="A6" s="65"/>
      <c r="B6" s="86" t="str">
        <f>IF('Team Data'!B12="","",'Team Data'!B12)</f>
        <v/>
      </c>
      <c r="C6" s="87"/>
      <c r="D6" s="88" t="str">
        <f>IF($C$6="","",RANK(AU7,($AU$6:$AU$85),0))</f>
        <v/>
      </c>
      <c r="E6" s="86" t="str">
        <f>IF('Team Data'!B13="","",'Team Data'!B13)</f>
        <v/>
      </c>
      <c r="F6" s="87"/>
      <c r="G6" s="88" t="str">
        <f>IF($F$6="","",RANK(AU27,($AU$6:$AU$85),0))</f>
        <v/>
      </c>
      <c r="H6" s="86" t="str">
        <f>IF('Team Data'!B14="","",'Team Data'!B14)</f>
        <v/>
      </c>
      <c r="I6" s="87"/>
      <c r="J6" s="88" t="str">
        <f>IF($I$6="","",RANK(AU47,($AU$6:$AU$85),0))</f>
        <v/>
      </c>
      <c r="K6" s="86" t="str">
        <f>IF('Team Data'!B15="","",'Team Data'!B15)</f>
        <v/>
      </c>
      <c r="L6" s="87"/>
      <c r="M6" s="88" t="str">
        <f>IF($L$6="","",RANK(AU67,($AU$6:$AU$85),0))</f>
        <v/>
      </c>
      <c r="N6" s="73"/>
      <c r="O6" s="66"/>
      <c r="P6" s="105"/>
      <c r="Q6" s="59" t="s">
        <v>30</v>
      </c>
      <c r="R6" s="20">
        <f>$H$55</f>
        <v>1</v>
      </c>
      <c r="S6" s="23">
        <f>$I$55</f>
        <v>0</v>
      </c>
      <c r="T6" s="27">
        <f>$R$12</f>
        <v>3</v>
      </c>
      <c r="U6" s="27">
        <f>$S$12</f>
        <v>0</v>
      </c>
      <c r="V6" s="17">
        <f>$S$13</f>
        <v>0</v>
      </c>
      <c r="W6" s="29">
        <f>$S$14</f>
        <v>0</v>
      </c>
      <c r="X6" s="17"/>
      <c r="Z6" s="22">
        <f>$E$108</f>
        <v>0</v>
      </c>
      <c r="AA6" s="42">
        <f>$F$108</f>
        <v>0</v>
      </c>
      <c r="AC6" s="1"/>
      <c r="AF6" s="22">
        <f>$E$117</f>
        <v>0</v>
      </c>
      <c r="AG6" s="23">
        <f>$F$117</f>
        <v>0</v>
      </c>
      <c r="AH6" s="1"/>
      <c r="AI6" s="1"/>
      <c r="AK6" s="22">
        <f>$B$128</f>
        <v>0</v>
      </c>
      <c r="AL6" s="23">
        <f>$C$128</f>
        <v>0</v>
      </c>
      <c r="AM6" s="1"/>
      <c r="AN6" s="1"/>
      <c r="AP6" s="24">
        <f>$H$135</f>
        <v>0</v>
      </c>
      <c r="AQ6" s="25">
        <f>$I$135</f>
        <v>0</v>
      </c>
      <c r="AS6" s="1"/>
      <c r="AT6" s="22">
        <f t="shared" ref="AT6:AT25" si="0">B5</f>
        <v>1</v>
      </c>
      <c r="AU6" s="42">
        <f t="shared" ref="AU6:AU25" si="1">MAX(C5,F30,I55)</f>
        <v>0</v>
      </c>
      <c r="AV6" s="1"/>
      <c r="AW6" s="22">
        <f>AT$6</f>
        <v>1</v>
      </c>
      <c r="AX6" s="23">
        <f>AU$6</f>
        <v>0</v>
      </c>
      <c r="AY6" s="96">
        <f>IF(AW6="","",1)</f>
        <v>1</v>
      </c>
    </row>
    <row r="7" spans="1:56" ht="20.25" customHeight="1" x14ac:dyDescent="0.25">
      <c r="A7" s="65"/>
      <c r="B7" s="86" t="str">
        <f>IF('Team Data'!B16="","",'Team Data'!B16)</f>
        <v/>
      </c>
      <c r="C7" s="87"/>
      <c r="D7" s="88" t="str">
        <f>IF($C$7="","",RANK(AU8,($AU$6:$AU$85),0))</f>
        <v/>
      </c>
      <c r="E7" s="86" t="str">
        <f>IF('Team Data'!B17="","",'Team Data'!B17)</f>
        <v/>
      </c>
      <c r="F7" s="87"/>
      <c r="G7" s="88" t="str">
        <f>IF($F$7="","",RANK(AU28,($AU$6:$AU$85),0))</f>
        <v/>
      </c>
      <c r="H7" s="86" t="str">
        <f>IF('Team Data'!B18="","",'Team Data'!B18)</f>
        <v/>
      </c>
      <c r="I7" s="87"/>
      <c r="J7" s="88" t="str">
        <f>IF($I$7="","",RANK(AU48,($AU$6:$AU$85),0))</f>
        <v/>
      </c>
      <c r="K7" s="86" t="str">
        <f>IF('Team Data'!B19="","",'Team Data'!B19)</f>
        <v/>
      </c>
      <c r="L7" s="87"/>
      <c r="M7" s="88" t="str">
        <f>IF($L$7="","",RANK(AU68,($AU$6:$AU$85),0))</f>
        <v/>
      </c>
      <c r="N7" s="73"/>
      <c r="O7" s="66"/>
      <c r="P7" s="69"/>
      <c r="Q7" s="59" t="s">
        <v>31</v>
      </c>
      <c r="R7" s="27">
        <f>$E$30</f>
        <v>1</v>
      </c>
      <c r="S7" s="29">
        <f>$F$30</f>
        <v>0</v>
      </c>
      <c r="T7" s="27">
        <f>$R$6</f>
        <v>1</v>
      </c>
      <c r="U7" s="27">
        <f>$S$6</f>
        <v>0</v>
      </c>
      <c r="V7" s="17">
        <f>$S$7</f>
        <v>0</v>
      </c>
      <c r="W7" s="29">
        <f>$S$8</f>
        <v>0</v>
      </c>
      <c r="X7" s="17"/>
      <c r="Z7" s="19">
        <f>$H$108</f>
        <v>0</v>
      </c>
      <c r="AA7" s="28">
        <f>$I$108</f>
        <v>0</v>
      </c>
      <c r="AB7" s="1"/>
      <c r="AC7" s="1"/>
      <c r="AF7" s="19">
        <f>$B$119</f>
        <v>0</v>
      </c>
      <c r="AG7" s="29">
        <f>$C$119</f>
        <v>0</v>
      </c>
      <c r="AI7" s="1"/>
      <c r="AK7" s="30">
        <f>$E$128</f>
        <v>0</v>
      </c>
      <c r="AL7" s="31">
        <f>$F$128</f>
        <v>0</v>
      </c>
      <c r="AM7" s="1"/>
      <c r="AN7" s="1"/>
      <c r="AP7" s="30">
        <f>$E$135</f>
        <v>0</v>
      </c>
      <c r="AQ7" s="31">
        <f>$F$135</f>
        <v>0</v>
      </c>
      <c r="AT7" s="19" t="str">
        <f t="shared" si="0"/>
        <v/>
      </c>
      <c r="AU7" s="28">
        <f t="shared" si="1"/>
        <v>0</v>
      </c>
      <c r="AV7" s="1"/>
      <c r="AW7" s="19">
        <f>AT$26</f>
        <v>2</v>
      </c>
      <c r="AX7" s="29">
        <f>AU$26</f>
        <v>0</v>
      </c>
      <c r="AY7" s="99">
        <f t="shared" ref="AY7:AY70" si="2">IF(AW7="","",1)</f>
        <v>1</v>
      </c>
    </row>
    <row r="8" spans="1:56" ht="20.25" customHeight="1" x14ac:dyDescent="0.25">
      <c r="A8" s="65"/>
      <c r="B8" s="86" t="str">
        <f>IF('Team Data'!B20="","",'Team Data'!B20)</f>
        <v/>
      </c>
      <c r="C8" s="87"/>
      <c r="D8" s="88" t="str">
        <f>IF($C$8="","",RANK(AU9,($AU$6:$AU$85),0))</f>
        <v/>
      </c>
      <c r="E8" s="86" t="str">
        <f>IF('Team Data'!B21="","",'Team Data'!B21)</f>
        <v/>
      </c>
      <c r="F8" s="87"/>
      <c r="G8" s="88" t="str">
        <f>IF($F$8="","",RANK(AU29,($AU$6:$AU$85),0))</f>
        <v/>
      </c>
      <c r="H8" s="86" t="str">
        <f>IF('Team Data'!B22="","",'Team Data'!B22)</f>
        <v/>
      </c>
      <c r="I8" s="87"/>
      <c r="J8" s="88" t="str">
        <f>IF($I$8="","",RANK(AU49,($AU$6:$AU$85),0))</f>
        <v/>
      </c>
      <c r="K8" s="86" t="str">
        <f>IF('Team Data'!B23="","",'Team Data'!B23)</f>
        <v/>
      </c>
      <c r="L8" s="87"/>
      <c r="M8" s="88" t="str">
        <f>IF($L$8="","",RANK(AU69,($AU$6:$AU$85),0))</f>
        <v/>
      </c>
      <c r="N8" s="73"/>
      <c r="O8" s="66"/>
      <c r="P8" s="62"/>
      <c r="Q8" s="59" t="s">
        <v>32</v>
      </c>
      <c r="R8" s="27">
        <f>$B$5</f>
        <v>1</v>
      </c>
      <c r="S8" s="29">
        <f>$C$5</f>
        <v>0</v>
      </c>
      <c r="T8" s="27">
        <f>$R$15</f>
        <v>4</v>
      </c>
      <c r="U8" s="27">
        <f>$S$15</f>
        <v>0</v>
      </c>
      <c r="V8" s="17">
        <f>$S$16</f>
        <v>0</v>
      </c>
      <c r="W8" s="29">
        <f>$S$17</f>
        <v>0</v>
      </c>
      <c r="X8" s="17"/>
      <c r="Y8" s="1"/>
      <c r="Z8" s="19">
        <f>$E$110</f>
        <v>0</v>
      </c>
      <c r="AA8" s="28">
        <f>$F$110</f>
        <v>0</v>
      </c>
      <c r="AB8" s="1"/>
      <c r="AC8" s="1"/>
      <c r="AF8" s="19">
        <f>$B$117</f>
        <v>0</v>
      </c>
      <c r="AG8" s="29">
        <f>$C$117</f>
        <v>0</v>
      </c>
      <c r="AH8" s="1"/>
      <c r="AI8" s="1"/>
      <c r="AK8" s="22">
        <f>$K$127</f>
        <v>0</v>
      </c>
      <c r="AL8" s="23">
        <f>$L$127</f>
        <v>0</v>
      </c>
      <c r="AM8" s="1"/>
      <c r="AN8" s="1"/>
      <c r="AP8" s="19">
        <f>$E$136</f>
        <v>0</v>
      </c>
      <c r="AQ8" s="29">
        <f>$F$136</f>
        <v>0</v>
      </c>
      <c r="AT8" s="19" t="str">
        <f t="shared" si="0"/>
        <v/>
      </c>
      <c r="AU8" s="28">
        <f t="shared" si="1"/>
        <v>0</v>
      </c>
      <c r="AV8" s="1"/>
      <c r="AW8" s="19">
        <f>AT$46</f>
        <v>3</v>
      </c>
      <c r="AX8" s="29">
        <f>AU$46</f>
        <v>0</v>
      </c>
      <c r="AY8" s="99">
        <f t="shared" si="2"/>
        <v>1</v>
      </c>
    </row>
    <row r="9" spans="1:56" ht="20.25" customHeight="1" x14ac:dyDescent="0.25">
      <c r="A9" s="65"/>
      <c r="B9" s="86" t="str">
        <f>IF('Team Data'!B24="","",'Team Data'!B24)</f>
        <v/>
      </c>
      <c r="C9" s="87"/>
      <c r="D9" s="88" t="str">
        <f>IF($C$9="","",RANK(AU10,($AU$6:$AU$85),0))</f>
        <v/>
      </c>
      <c r="E9" s="86" t="str">
        <f>IF('Team Data'!B25="","",'Team Data'!B25)</f>
        <v/>
      </c>
      <c r="F9" s="87"/>
      <c r="G9" s="88" t="str">
        <f>IF($F$9="","",RANK(AU30,($AU$6:$AU$85),0))</f>
        <v/>
      </c>
      <c r="H9" s="86" t="str">
        <f>IF('Team Data'!B26="","",'Team Data'!B26)</f>
        <v/>
      </c>
      <c r="I9" s="87"/>
      <c r="J9" s="88" t="str">
        <f>IF($I$9="","",RANK(AU50,($AU$6:$AU$85),0))</f>
        <v/>
      </c>
      <c r="K9" s="86" t="str">
        <f>IF('Team Data'!B27="","",'Team Data'!B27)</f>
        <v/>
      </c>
      <c r="L9" s="87"/>
      <c r="M9" s="88" t="str">
        <f>IF($L$9="","",RANK(AU70,($AU$6:$AU$85),0))</f>
        <v/>
      </c>
      <c r="N9" s="73"/>
      <c r="O9" s="66"/>
      <c r="P9" s="62"/>
      <c r="Q9" s="59" t="s">
        <v>33</v>
      </c>
      <c r="R9" s="27">
        <f>$B$55</f>
        <v>2</v>
      </c>
      <c r="S9" s="29">
        <f>$C$55</f>
        <v>0</v>
      </c>
      <c r="T9" s="27">
        <f>$R$9</f>
        <v>2</v>
      </c>
      <c r="U9" s="27">
        <f>$S$9</f>
        <v>0</v>
      </c>
      <c r="V9" s="17">
        <f>$S$10</f>
        <v>0</v>
      </c>
      <c r="W9" s="29">
        <f>$S$11</f>
        <v>0</v>
      </c>
      <c r="X9" s="17"/>
      <c r="Z9" s="19">
        <f>$K$108</f>
        <v>0</v>
      </c>
      <c r="AA9" s="28">
        <f>$L$108</f>
        <v>0</v>
      </c>
      <c r="AB9" s="1"/>
      <c r="AC9" s="1"/>
      <c r="AF9" s="30">
        <f>$K$118</f>
        <v>0</v>
      </c>
      <c r="AG9" s="31">
        <f>$L$118</f>
        <v>0</v>
      </c>
      <c r="AH9" s="1"/>
      <c r="AI9" s="1"/>
      <c r="AK9" s="19">
        <f>$B$127</f>
        <v>0</v>
      </c>
      <c r="AL9" s="29">
        <f>$C$127</f>
        <v>0</v>
      </c>
      <c r="AM9" s="1"/>
      <c r="AN9" s="1"/>
      <c r="AP9" s="30">
        <f>$H$136</f>
        <v>0</v>
      </c>
      <c r="AQ9" s="31">
        <f>$I$136</f>
        <v>0</v>
      </c>
      <c r="AT9" s="19" t="str">
        <f t="shared" si="0"/>
        <v/>
      </c>
      <c r="AU9" s="28">
        <f t="shared" si="1"/>
        <v>0</v>
      </c>
      <c r="AV9" s="1"/>
      <c r="AW9" s="19">
        <f>AT$66</f>
        <v>4</v>
      </c>
      <c r="AX9" s="29">
        <f>AU$66</f>
        <v>0</v>
      </c>
      <c r="AY9" s="99">
        <f t="shared" si="2"/>
        <v>1</v>
      </c>
    </row>
    <row r="10" spans="1:56" ht="20.25" customHeight="1" x14ac:dyDescent="0.25">
      <c r="A10" s="65"/>
      <c r="B10" s="86" t="str">
        <f>IF('Team Data'!B28="","",'Team Data'!B28)</f>
        <v/>
      </c>
      <c r="C10" s="87"/>
      <c r="D10" s="88" t="str">
        <f>IF($C$10="","",RANK(AU11,($AU$6:$AU$85),0))</f>
        <v/>
      </c>
      <c r="E10" s="86" t="str">
        <f>IF('Team Data'!B29="","",'Team Data'!B29)</f>
        <v/>
      </c>
      <c r="F10" s="87"/>
      <c r="G10" s="88" t="str">
        <f>IF($F$10="","",RANK(AU31,($AU$6:$AU$85),0))</f>
        <v/>
      </c>
      <c r="H10" s="86" t="str">
        <f>IF('Team Data'!B30="","",'Team Data'!B30)</f>
        <v/>
      </c>
      <c r="I10" s="87"/>
      <c r="J10" s="88" t="str">
        <f>IF($I$10="","",RANK(AU51,($AU$6:$AU$85),0))</f>
        <v/>
      </c>
      <c r="K10" s="86" t="str">
        <f>IF('Team Data'!B31="","",'Team Data'!B31)</f>
        <v/>
      </c>
      <c r="L10" s="87"/>
      <c r="M10" s="88" t="str">
        <f>IF($L$10="","",RANK(AU71,($AU$6:$AU$85),0))</f>
        <v/>
      </c>
      <c r="N10" s="76"/>
      <c r="O10" s="66"/>
      <c r="P10" s="62"/>
      <c r="Q10" s="59" t="s">
        <v>34</v>
      </c>
      <c r="R10" s="27">
        <f>$H$30</f>
        <v>2</v>
      </c>
      <c r="S10" s="29">
        <f>$I$30</f>
        <v>0</v>
      </c>
      <c r="T10" s="27" t="str">
        <f>$R$27</f>
        <v/>
      </c>
      <c r="U10" s="27">
        <f>$S$27</f>
        <v>0</v>
      </c>
      <c r="V10" s="17">
        <f>$S$28</f>
        <v>0</v>
      </c>
      <c r="W10" s="29">
        <f>$S$29</f>
        <v>0</v>
      </c>
      <c r="X10" s="17"/>
      <c r="Y10" s="1"/>
      <c r="Z10" s="19">
        <f>$K$107</f>
        <v>0</v>
      </c>
      <c r="AA10" s="28">
        <f>$L$107</f>
        <v>0</v>
      </c>
      <c r="AB10" s="1"/>
      <c r="AC10" s="1"/>
      <c r="AF10" s="19">
        <f>$H$118</f>
        <v>0</v>
      </c>
      <c r="AG10" s="29">
        <f>$I$118</f>
        <v>0</v>
      </c>
      <c r="AH10" s="1"/>
      <c r="AI10" s="1"/>
      <c r="AK10" s="19">
        <f>$E$127</f>
        <v>0</v>
      </c>
      <c r="AL10" s="29">
        <f>$F$127</f>
        <v>0</v>
      </c>
      <c r="AM10" s="1"/>
      <c r="AN10" s="1"/>
      <c r="AO10" s="1"/>
      <c r="AT10" s="19" t="str">
        <f t="shared" si="0"/>
        <v/>
      </c>
      <c r="AU10" s="28">
        <f t="shared" si="1"/>
        <v>0</v>
      </c>
      <c r="AV10" s="1"/>
      <c r="AW10" s="19" t="str">
        <f>AT$7</f>
        <v/>
      </c>
      <c r="AX10" s="29">
        <f>AU$7</f>
        <v>0</v>
      </c>
      <c r="AY10" s="99" t="str">
        <f t="shared" si="2"/>
        <v/>
      </c>
    </row>
    <row r="11" spans="1:56" s="1" customFormat="1" ht="20.25" customHeight="1" x14ac:dyDescent="0.25">
      <c r="A11" s="62"/>
      <c r="B11" s="86" t="str">
        <f>IF('Team Data'!B32="","",'Team Data'!B32)</f>
        <v/>
      </c>
      <c r="C11" s="87"/>
      <c r="D11" s="88" t="str">
        <f>IF($C$11="","",RANK(AU12,($AU$6:$AU$85),0))</f>
        <v/>
      </c>
      <c r="E11" s="86" t="str">
        <f>IF('Team Data'!B33="","",'Team Data'!B33)</f>
        <v/>
      </c>
      <c r="F11" s="87"/>
      <c r="G11" s="88" t="str">
        <f>IF($F$11="","",RANK(AU32,($AU$6:$AU$85),0))</f>
        <v/>
      </c>
      <c r="H11" s="86" t="str">
        <f>IF('Team Data'!B34="","",'Team Data'!B34)</f>
        <v/>
      </c>
      <c r="I11" s="87"/>
      <c r="J11" s="88" t="str">
        <f>IF($I$11="","",RANK(AU52,($AU$6:$AU$85),0))</f>
        <v/>
      </c>
      <c r="K11" s="86" t="str">
        <f>IF('Team Data'!B35="","",'Team Data'!B35)</f>
        <v/>
      </c>
      <c r="L11" s="87"/>
      <c r="M11" s="88" t="str">
        <f>IF($L$11="","",RANK(AU72,($AU$6:$AU$85),0))</f>
        <v/>
      </c>
      <c r="N11" s="76"/>
      <c r="O11" s="66"/>
      <c r="P11" s="62"/>
      <c r="Q11" s="59" t="s">
        <v>35</v>
      </c>
      <c r="R11" s="27">
        <f>$E$5</f>
        <v>2</v>
      </c>
      <c r="S11" s="29">
        <f>$F$5</f>
        <v>0</v>
      </c>
      <c r="T11" s="27" t="str">
        <f>$R$24</f>
        <v/>
      </c>
      <c r="U11" s="27">
        <f>$S$24</f>
        <v>0</v>
      </c>
      <c r="V11" s="17">
        <f>$S$25</f>
        <v>0</v>
      </c>
      <c r="W11" s="29">
        <f>$S$26</f>
        <v>0</v>
      </c>
      <c r="X11" s="17"/>
      <c r="Z11" s="19">
        <f>$E$107</f>
        <v>0</v>
      </c>
      <c r="AA11" s="28">
        <f>$F$107</f>
        <v>0</v>
      </c>
      <c r="AC11" s="33"/>
      <c r="AD11" s="33"/>
      <c r="AE11" s="2"/>
      <c r="AF11" s="19">
        <f>$E$118</f>
        <v>0</v>
      </c>
      <c r="AG11" s="29">
        <f>$F$118</f>
        <v>0</v>
      </c>
      <c r="AJ11" s="2"/>
      <c r="AK11" s="19">
        <f>$H$127</f>
        <v>0</v>
      </c>
      <c r="AL11" s="29">
        <f>$I$127</f>
        <v>0</v>
      </c>
      <c r="AS11" s="2"/>
      <c r="AT11" s="19" t="str">
        <f t="shared" si="0"/>
        <v/>
      </c>
      <c r="AU11" s="28">
        <f t="shared" si="1"/>
        <v>0</v>
      </c>
      <c r="AW11" s="19" t="str">
        <f>AT$27</f>
        <v/>
      </c>
      <c r="AX11" s="29">
        <f>AU$27</f>
        <v>0</v>
      </c>
      <c r="AY11" s="99" t="str">
        <f t="shared" si="2"/>
        <v/>
      </c>
      <c r="BD11" s="2"/>
    </row>
    <row r="12" spans="1:56" s="1" customFormat="1" ht="20.25" customHeight="1" x14ac:dyDescent="0.25">
      <c r="A12" s="62"/>
      <c r="B12" s="86" t="str">
        <f>IF('Team Data'!B36="","",'Team Data'!B36)</f>
        <v/>
      </c>
      <c r="C12" s="87"/>
      <c r="D12" s="88" t="str">
        <f>IF($C$12="","",RANK(AU13,($AU$6:$AU$85),0))</f>
        <v/>
      </c>
      <c r="E12" s="86" t="str">
        <f>IF('Team Data'!B37="","",'Team Data'!B37)</f>
        <v/>
      </c>
      <c r="F12" s="87"/>
      <c r="G12" s="88" t="str">
        <f>IF($F$12="","",RANK(AU33,($AU$6:$AU$85),0))</f>
        <v/>
      </c>
      <c r="H12" s="86" t="str">
        <f>IF('Team Data'!B38="","",'Team Data'!B38)</f>
        <v/>
      </c>
      <c r="I12" s="87"/>
      <c r="J12" s="88" t="str">
        <f>IF($I$12="","",RANK(AU53,($AU$6:$AU$85),0))</f>
        <v/>
      </c>
      <c r="K12" s="86" t="str">
        <f>IF('Team Data'!B39="","",'Team Data'!B39)</f>
        <v/>
      </c>
      <c r="L12" s="87"/>
      <c r="M12" s="88" t="str">
        <f>IF($L$12="","",RANK(AU73,($AU$6:$AU$85),0))</f>
        <v/>
      </c>
      <c r="N12" s="76"/>
      <c r="O12" s="66"/>
      <c r="P12" s="62"/>
      <c r="Q12" s="59" t="s">
        <v>36</v>
      </c>
      <c r="R12" s="27">
        <f>$K$55</f>
        <v>3</v>
      </c>
      <c r="S12" s="29">
        <f>$L$55</f>
        <v>0</v>
      </c>
      <c r="T12" s="27" t="str">
        <f>$R$21</f>
        <v/>
      </c>
      <c r="U12" s="27">
        <f>$S$21</f>
        <v>0</v>
      </c>
      <c r="V12" s="17">
        <f>$S$22</f>
        <v>0</v>
      </c>
      <c r="W12" s="29">
        <f>$S$23</f>
        <v>0</v>
      </c>
      <c r="X12" s="17"/>
      <c r="Z12" s="19">
        <f>$B$108</f>
        <v>0</v>
      </c>
      <c r="AA12" s="29">
        <f>$C$108</f>
        <v>0</v>
      </c>
      <c r="AD12" s="2"/>
      <c r="AE12" s="2"/>
      <c r="AF12" s="19">
        <f>$H$117</f>
        <v>0</v>
      </c>
      <c r="AG12" s="29">
        <f>$I$117</f>
        <v>0</v>
      </c>
      <c r="AJ12" s="2"/>
      <c r="AK12" s="19">
        <f>$K$128</f>
        <v>0</v>
      </c>
      <c r="AL12" s="29">
        <f>$L$128</f>
        <v>0</v>
      </c>
      <c r="AS12" s="2"/>
      <c r="AT12" s="19" t="str">
        <f t="shared" si="0"/>
        <v/>
      </c>
      <c r="AU12" s="28">
        <f t="shared" si="1"/>
        <v>0</v>
      </c>
      <c r="AW12" s="19" t="str">
        <f>AT$47</f>
        <v/>
      </c>
      <c r="AX12" s="29">
        <f>AU$47</f>
        <v>0</v>
      </c>
      <c r="AY12" s="99" t="str">
        <f t="shared" si="2"/>
        <v/>
      </c>
    </row>
    <row r="13" spans="1:56" s="1" customFormat="1" ht="20.25" customHeight="1" x14ac:dyDescent="0.25">
      <c r="A13" s="62"/>
      <c r="B13" s="86" t="str">
        <f>IF('Team Data'!B40="","",'Team Data'!B40)</f>
        <v/>
      </c>
      <c r="C13" s="87"/>
      <c r="D13" s="88" t="str">
        <f>IF($C$13="","",RANK(AU14,($AU$6:$AU$85),0))</f>
        <v/>
      </c>
      <c r="E13" s="86" t="str">
        <f>IF('Team Data'!B41="","",'Team Data'!B41)</f>
        <v/>
      </c>
      <c r="F13" s="87"/>
      <c r="G13" s="88" t="str">
        <f>IF($F$13="","",RANK(AU34,($AU$6:$AU$85),0))</f>
        <v/>
      </c>
      <c r="H13" s="86" t="str">
        <f>IF('Team Data'!B42="","",'Team Data'!B42)</f>
        <v/>
      </c>
      <c r="I13" s="87"/>
      <c r="J13" s="88" t="str">
        <f>IF($I$13="","",RANK(AU54,($AU$6:$AU$85),0))</f>
        <v/>
      </c>
      <c r="K13" s="86" t="str">
        <f>IF('Team Data'!B43="","",'Team Data'!B43)</f>
        <v/>
      </c>
      <c r="L13" s="87"/>
      <c r="M13" s="88" t="str">
        <f>IF($L$13="","",RANK(AU74,($AU$6:$AU$85),0))</f>
        <v/>
      </c>
      <c r="N13" s="76"/>
      <c r="O13" s="66"/>
      <c r="P13" s="62"/>
      <c r="Q13" s="59" t="s">
        <v>37</v>
      </c>
      <c r="R13" s="27">
        <f>$K$30</f>
        <v>3</v>
      </c>
      <c r="S13" s="29">
        <f>$L$30</f>
        <v>0</v>
      </c>
      <c r="T13" s="27" t="str">
        <f>$R$18</f>
        <v/>
      </c>
      <c r="U13" s="27">
        <f>$S$18</f>
        <v>0</v>
      </c>
      <c r="V13" s="17">
        <f>$S$19</f>
        <v>0</v>
      </c>
      <c r="W13" s="29">
        <f>$S$20</f>
        <v>0</v>
      </c>
      <c r="X13" s="17"/>
      <c r="Z13" s="30">
        <f>$B$107</f>
        <v>0</v>
      </c>
      <c r="AA13" s="97">
        <f>$C$107</f>
        <v>0</v>
      </c>
      <c r="AD13" s="2"/>
      <c r="AE13" s="2"/>
      <c r="AF13" s="19">
        <f>B$118</f>
        <v>0</v>
      </c>
      <c r="AG13" s="29">
        <f>$C$118</f>
        <v>0</v>
      </c>
      <c r="AJ13" s="2"/>
      <c r="AK13" s="30">
        <f>$H$128</f>
        <v>0</v>
      </c>
      <c r="AL13" s="31">
        <f>$I$128</f>
        <v>0</v>
      </c>
      <c r="AS13" s="2"/>
      <c r="AT13" s="19" t="str">
        <f t="shared" si="0"/>
        <v/>
      </c>
      <c r="AU13" s="28">
        <f t="shared" si="1"/>
        <v>0</v>
      </c>
      <c r="AW13" s="19" t="str">
        <f>AT$67</f>
        <v/>
      </c>
      <c r="AX13" s="29">
        <f>AU$67</f>
        <v>0</v>
      </c>
      <c r="AY13" s="99" t="str">
        <f t="shared" si="2"/>
        <v/>
      </c>
    </row>
    <row r="14" spans="1:56" s="1" customFormat="1" ht="20.25" customHeight="1" x14ac:dyDescent="0.25">
      <c r="A14" s="62"/>
      <c r="B14" s="86" t="str">
        <f>IF('Team Data'!B44="","",'Team Data'!B44)</f>
        <v/>
      </c>
      <c r="C14" s="87"/>
      <c r="D14" s="88" t="str">
        <f>IF($C$14="","",RANK(AU15,($AU$6:$AU$85),0))</f>
        <v/>
      </c>
      <c r="E14" s="86" t="str">
        <f>IF('Team Data'!B45="","",'Team Data'!B45)</f>
        <v/>
      </c>
      <c r="F14" s="87"/>
      <c r="G14" s="88" t="str">
        <f>IF($F$14="","",RANK(AU35,($AU$6:$AU$85),0))</f>
        <v/>
      </c>
      <c r="H14" s="86" t="str">
        <f>IF('Team Data'!B46="","",'Team Data'!B46)</f>
        <v/>
      </c>
      <c r="I14" s="87"/>
      <c r="J14" s="88" t="str">
        <f>IF($I$14="","",RANK(AU55,($AU$6:$AU$85),0))</f>
        <v/>
      </c>
      <c r="K14" s="86" t="str">
        <f>IF('Team Data'!B47="","",'Team Data'!B47)</f>
        <v/>
      </c>
      <c r="L14" s="87"/>
      <c r="M14" s="88" t="str">
        <f>IF($L$14="","",RANK(AU75,($AU$6:$AU$85),0))</f>
        <v/>
      </c>
      <c r="N14" s="76"/>
      <c r="O14" s="66"/>
      <c r="P14" s="62"/>
      <c r="Q14" s="59" t="s">
        <v>38</v>
      </c>
      <c r="R14" s="27">
        <f>$H$5</f>
        <v>3</v>
      </c>
      <c r="S14" s="29">
        <f>$I$5</f>
        <v>0</v>
      </c>
      <c r="T14" s="27" t="str">
        <f>$R$36</f>
        <v/>
      </c>
      <c r="U14" s="27">
        <f>$S$36</f>
        <v>0</v>
      </c>
      <c r="V14" s="17">
        <f>$S$37</f>
        <v>0</v>
      </c>
      <c r="W14" s="29">
        <f>$S$38</f>
        <v>0</v>
      </c>
      <c r="X14" s="17"/>
      <c r="Z14" s="19">
        <f>$B$109</f>
        <v>0</v>
      </c>
      <c r="AA14" s="28">
        <f>$C$109</f>
        <v>0</v>
      </c>
      <c r="AD14" s="2"/>
      <c r="AE14" s="2"/>
      <c r="AF14" s="19">
        <f>$K$117</f>
        <v>0</v>
      </c>
      <c r="AG14" s="29">
        <f>$L$117</f>
        <v>0</v>
      </c>
      <c r="AH14" s="2"/>
      <c r="AJ14" s="26"/>
      <c r="AK14" s="26"/>
      <c r="AL14" s="26"/>
      <c r="AM14" s="26"/>
      <c r="AS14" s="2"/>
      <c r="AT14" s="19" t="str">
        <f t="shared" si="0"/>
        <v/>
      </c>
      <c r="AU14" s="28">
        <f t="shared" si="1"/>
        <v>0</v>
      </c>
      <c r="AW14" s="19" t="str">
        <f>AT$8</f>
        <v/>
      </c>
      <c r="AX14" s="29">
        <f>AU$8</f>
        <v>0</v>
      </c>
      <c r="AY14" s="99" t="str">
        <f t="shared" si="2"/>
        <v/>
      </c>
    </row>
    <row r="15" spans="1:56" s="1" customFormat="1" ht="20.25" customHeight="1" x14ac:dyDescent="0.25">
      <c r="A15" s="62"/>
      <c r="B15" s="86" t="str">
        <f>IF('Team Data'!B48="","",'Team Data'!B48)</f>
        <v/>
      </c>
      <c r="C15" s="87"/>
      <c r="D15" s="88" t="str">
        <f>IF($C$15="","",RANK(AU16,($AU$6:$AU$85),0))</f>
        <v/>
      </c>
      <c r="E15" s="86" t="str">
        <f>IF('Team Data'!B49="","",'Team Data'!B49)</f>
        <v/>
      </c>
      <c r="F15" s="87"/>
      <c r="G15" s="88" t="str">
        <f>IF($F$15="","",RANK(AU36,($AU$6:$AU$85),0))</f>
        <v/>
      </c>
      <c r="H15" s="86" t="str">
        <f>IF('Team Data'!B50="","",'Team Data'!B50)</f>
        <v/>
      </c>
      <c r="I15" s="87"/>
      <c r="J15" s="88" t="str">
        <f>IF($I$15="","",RANK(AU56,($AU$6:$AU$85),0))</f>
        <v/>
      </c>
      <c r="K15" s="86" t="str">
        <f>IF('Team Data'!B51="","",'Team Data'!B51)</f>
        <v/>
      </c>
      <c r="L15" s="87"/>
      <c r="M15" s="88" t="str">
        <f>IF($L$15="","",RANK(AU76,($AU$6:$AU$85),0))</f>
        <v/>
      </c>
      <c r="N15" s="76"/>
      <c r="O15" s="66"/>
      <c r="P15" s="62"/>
      <c r="Q15" s="59" t="s">
        <v>39</v>
      </c>
      <c r="R15" s="27">
        <f>$E$55</f>
        <v>4</v>
      </c>
      <c r="S15" s="29">
        <f>$F$55</f>
        <v>0</v>
      </c>
      <c r="T15" s="27" t="str">
        <f>$R$30</f>
        <v/>
      </c>
      <c r="U15" s="27">
        <f>$S$30</f>
        <v>0</v>
      </c>
      <c r="V15" s="17">
        <f>$S$31</f>
        <v>0</v>
      </c>
      <c r="W15" s="29">
        <f>$S$32</f>
        <v>0</v>
      </c>
      <c r="X15" s="17"/>
      <c r="Z15" s="19">
        <f>$H$107</f>
        <v>0</v>
      </c>
      <c r="AA15" s="28">
        <f>$I$107</f>
        <v>0</v>
      </c>
      <c r="AD15" s="2"/>
      <c r="AE15" s="2"/>
      <c r="AF15" s="19">
        <f>$H$119</f>
        <v>0</v>
      </c>
      <c r="AG15" s="29">
        <f>$I$119</f>
        <v>0</v>
      </c>
      <c r="AH15" s="2"/>
      <c r="AJ15" s="26"/>
      <c r="AK15" s="26"/>
      <c r="AL15" s="26"/>
      <c r="AM15" s="26"/>
      <c r="AS15" s="2"/>
      <c r="AT15" s="19" t="str">
        <f t="shared" si="0"/>
        <v/>
      </c>
      <c r="AU15" s="28">
        <f t="shared" si="1"/>
        <v>0</v>
      </c>
      <c r="AW15" s="19" t="str">
        <f>AT$28</f>
        <v/>
      </c>
      <c r="AX15" s="29">
        <f>AU$28</f>
        <v>0</v>
      </c>
      <c r="AY15" s="99" t="str">
        <f t="shared" si="2"/>
        <v/>
      </c>
    </row>
    <row r="16" spans="1:56" s="1" customFormat="1" ht="20.25" customHeight="1" x14ac:dyDescent="0.25">
      <c r="A16" s="62"/>
      <c r="B16" s="86" t="str">
        <f>IF('Team Data'!B52="","",'Team Data'!B52)</f>
        <v/>
      </c>
      <c r="C16" s="87"/>
      <c r="D16" s="88" t="str">
        <f>IF($C$16="","",RANK(AU17,($AU$6:$AU$85),0))</f>
        <v/>
      </c>
      <c r="E16" s="86" t="str">
        <f>IF('Team Data'!B53="","",'Team Data'!B53)</f>
        <v/>
      </c>
      <c r="F16" s="87"/>
      <c r="G16" s="88" t="str">
        <f>IF($F$16="","",RANK(AU37,($AU$6:$AU$85),0))</f>
        <v/>
      </c>
      <c r="H16" s="86" t="str">
        <f>IF('Team Data'!B54="","",'Team Data'!B54)</f>
        <v/>
      </c>
      <c r="I16" s="87"/>
      <c r="J16" s="88" t="str">
        <f>IF($I$16="","",RANK(AU57,($AU$6:$AU$85),0))</f>
        <v/>
      </c>
      <c r="K16" s="86" t="str">
        <f>IF('Team Data'!B55="","",'Team Data'!B55)</f>
        <v/>
      </c>
      <c r="L16" s="87"/>
      <c r="M16" s="88" t="str">
        <f>IF($L$16="","",RANK(AU77,($AU$6:$AU$85),0))</f>
        <v/>
      </c>
      <c r="N16" s="76"/>
      <c r="O16" s="66"/>
      <c r="P16" s="62"/>
      <c r="Q16" s="59" t="s">
        <v>40</v>
      </c>
      <c r="R16" s="27">
        <f>$B$30</f>
        <v>4</v>
      </c>
      <c r="S16" s="29">
        <f>$C$30</f>
        <v>0</v>
      </c>
      <c r="T16" s="27" t="str">
        <f>$R$33</f>
        <v/>
      </c>
      <c r="U16" s="27">
        <f>$S$33</f>
        <v>0</v>
      </c>
      <c r="V16" s="17">
        <f>$S$34</f>
        <v>0</v>
      </c>
      <c r="W16" s="29">
        <f>$S$35</f>
        <v>0</v>
      </c>
      <c r="X16" s="17"/>
      <c r="Z16" s="19">
        <f>$E$109</f>
        <v>0</v>
      </c>
      <c r="AA16" s="28">
        <f>$F$109</f>
        <v>0</v>
      </c>
      <c r="AF16" s="19">
        <f>$E$119</f>
        <v>0</v>
      </c>
      <c r="AG16" s="29">
        <f>$F$119</f>
        <v>0</v>
      </c>
      <c r="AJ16" s="26"/>
      <c r="AK16" s="26"/>
      <c r="AL16" s="26"/>
      <c r="AM16" s="26"/>
      <c r="AS16" s="2"/>
      <c r="AT16" s="19" t="str">
        <f t="shared" si="0"/>
        <v/>
      </c>
      <c r="AU16" s="28">
        <f t="shared" si="1"/>
        <v>0</v>
      </c>
      <c r="AW16" s="19" t="str">
        <f>AT$48</f>
        <v/>
      </c>
      <c r="AX16" s="29">
        <f>AU$48</f>
        <v>0</v>
      </c>
      <c r="AY16" s="99" t="str">
        <f t="shared" si="2"/>
        <v/>
      </c>
    </row>
    <row r="17" spans="1:55" s="1" customFormat="1" ht="20.25" customHeight="1" x14ac:dyDescent="0.25">
      <c r="A17" s="62"/>
      <c r="B17" s="86" t="str">
        <f>IF('Team Data'!B56="","",'Team Data'!B56)</f>
        <v/>
      </c>
      <c r="C17" s="87"/>
      <c r="D17" s="88" t="str">
        <f>IF($C$17="","",RANK(AU18,($AU$6:$AU$85),0))</f>
        <v/>
      </c>
      <c r="E17" s="86" t="str">
        <f>IF('Team Data'!B57="","",'Team Data'!B57)</f>
        <v/>
      </c>
      <c r="F17" s="87"/>
      <c r="G17" s="88" t="str">
        <f>IF($F$17="","",RANK(AU38,($AU$6:$AU$85),0))</f>
        <v/>
      </c>
      <c r="H17" s="86" t="str">
        <f>IF('Team Data'!B58="","",'Team Data'!B58)</f>
        <v/>
      </c>
      <c r="I17" s="87"/>
      <c r="J17" s="88" t="str">
        <f>IF($I$17="","",RANK(AU58,($AU$6:$AU$85),0))</f>
        <v/>
      </c>
      <c r="K17" s="86" t="str">
        <f>IF('Team Data'!B59="","",'Team Data'!B59)</f>
        <v/>
      </c>
      <c r="L17" s="87"/>
      <c r="M17" s="88" t="str">
        <f>IF($L$17="","",RANK(AU78,($AU$6:$AU$85),0))</f>
        <v/>
      </c>
      <c r="N17" s="76"/>
      <c r="O17" s="66"/>
      <c r="P17" s="62"/>
      <c r="Q17" s="59" t="s">
        <v>41</v>
      </c>
      <c r="R17" s="27">
        <f>$K$5</f>
        <v>4</v>
      </c>
      <c r="S17" s="29">
        <f>$L$5</f>
        <v>0</v>
      </c>
      <c r="T17" s="27" t="str">
        <f>$R$39</f>
        <v/>
      </c>
      <c r="U17" s="27">
        <f>$S$39</f>
        <v>0</v>
      </c>
      <c r="V17" s="17">
        <f>$S$40</f>
        <v>0</v>
      </c>
      <c r="W17" s="29">
        <f>$S$41</f>
        <v>0</v>
      </c>
      <c r="X17" s="17"/>
      <c r="Z17" s="19">
        <f>$K$109</f>
        <v>0</v>
      </c>
      <c r="AA17" s="28">
        <f>$L$109</f>
        <v>0</v>
      </c>
      <c r="AF17" s="19">
        <f>$E$120</f>
        <v>0</v>
      </c>
      <c r="AG17" s="29">
        <f>$F$120</f>
        <v>0</v>
      </c>
      <c r="AJ17" s="26"/>
      <c r="AK17" s="2"/>
      <c r="AL17" s="26"/>
      <c r="AM17" s="26"/>
      <c r="AN17" s="26"/>
      <c r="AO17" s="26"/>
      <c r="AP17" s="26"/>
      <c r="AS17" s="2"/>
      <c r="AT17" s="19" t="str">
        <f t="shared" si="0"/>
        <v/>
      </c>
      <c r="AU17" s="28">
        <f t="shared" si="1"/>
        <v>0</v>
      </c>
      <c r="AW17" s="19" t="str">
        <f>AT$68</f>
        <v/>
      </c>
      <c r="AX17" s="29">
        <f>AU$68</f>
        <v>0</v>
      </c>
      <c r="AY17" s="99" t="str">
        <f t="shared" si="2"/>
        <v/>
      </c>
    </row>
    <row r="18" spans="1:55" s="1" customFormat="1" ht="20.25" customHeight="1" x14ac:dyDescent="0.25">
      <c r="A18" s="62"/>
      <c r="B18" s="86" t="str">
        <f>IF('Team Data'!B60="","",'Team Data'!B60)</f>
        <v/>
      </c>
      <c r="C18" s="87"/>
      <c r="D18" s="88" t="str">
        <f>IF($C$18="","",RANK(AU19,($AU$6:$AU$85),0))</f>
        <v/>
      </c>
      <c r="E18" s="86" t="str">
        <f>IF('Team Data'!B61="","",'Team Data'!B61)</f>
        <v/>
      </c>
      <c r="F18" s="87"/>
      <c r="G18" s="88" t="str">
        <f>IF($F$18="","",RANK(AU39,($AU$6:$AU$85),0))</f>
        <v/>
      </c>
      <c r="H18" s="86" t="str">
        <f>IF('Team Data'!B62="","",'Team Data'!B62)</f>
        <v/>
      </c>
      <c r="I18" s="87"/>
      <c r="J18" s="88" t="str">
        <f>IF($I$18="","",RANK(AU59,($AU$6:$AU$85),0))</f>
        <v/>
      </c>
      <c r="K18" s="86" t="str">
        <f>IF('Team Data'!B63="","",'Team Data'!B63)</f>
        <v/>
      </c>
      <c r="L18" s="87"/>
      <c r="M18" s="88" t="str">
        <f>IF($L$18="","",RANK(AU79,($AU$6:$AU$85),0))</f>
        <v/>
      </c>
      <c r="N18" s="76"/>
      <c r="O18" s="66"/>
      <c r="P18" s="62"/>
      <c r="Q18" s="59" t="s">
        <v>42</v>
      </c>
      <c r="R18" s="27" t="str">
        <f>$B$6</f>
        <v/>
      </c>
      <c r="S18" s="29">
        <f>$C$6</f>
        <v>0</v>
      </c>
      <c r="T18" s="27" t="str">
        <f>$R$204</f>
        <v/>
      </c>
      <c r="U18" s="27">
        <f>$S$204</f>
        <v>0</v>
      </c>
      <c r="V18" s="17">
        <f>$S$205</f>
        <v>0</v>
      </c>
      <c r="W18" s="29">
        <f>$S$206</f>
        <v>0</v>
      </c>
      <c r="X18" s="17"/>
      <c r="Z18" s="19">
        <f>$K$110</f>
        <v>0</v>
      </c>
      <c r="AA18" s="28">
        <f>$L$110</f>
        <v>0</v>
      </c>
      <c r="AF18" s="19">
        <f>$H$120</f>
        <v>0</v>
      </c>
      <c r="AG18" s="29">
        <f>$I$120</f>
        <v>0</v>
      </c>
      <c r="AJ18" s="26"/>
      <c r="AK18" s="26"/>
      <c r="AL18" s="26"/>
      <c r="AM18" s="26"/>
      <c r="AN18" s="26"/>
      <c r="AO18" s="26"/>
      <c r="AP18" s="26"/>
      <c r="AS18" s="2"/>
      <c r="AT18" s="19" t="str">
        <f t="shared" si="0"/>
        <v/>
      </c>
      <c r="AU18" s="28">
        <f t="shared" si="1"/>
        <v>0</v>
      </c>
      <c r="AW18" s="19" t="str">
        <f>AT$9</f>
        <v/>
      </c>
      <c r="AX18" s="29">
        <f>AU$9</f>
        <v>0</v>
      </c>
      <c r="AY18" s="99" t="str">
        <f t="shared" si="2"/>
        <v/>
      </c>
      <c r="AZ18" s="2"/>
      <c r="BA18" s="2"/>
      <c r="BB18" s="2"/>
      <c r="BC18" s="2"/>
    </row>
    <row r="19" spans="1:55" s="1" customFormat="1" ht="20.25" customHeight="1" x14ac:dyDescent="0.25">
      <c r="A19" s="62"/>
      <c r="B19" s="86" t="str">
        <f>IF('Team Data'!B64="","",'Team Data'!B64)</f>
        <v/>
      </c>
      <c r="C19" s="87"/>
      <c r="D19" s="88" t="str">
        <f>IF($C$19="","",RANK(AU20,($AU$6:$AU$85),0))</f>
        <v/>
      </c>
      <c r="E19" s="86" t="str">
        <f>IF('Team Data'!B65="","",'Team Data'!B65)</f>
        <v/>
      </c>
      <c r="F19" s="87"/>
      <c r="G19" s="88" t="str">
        <f>IF($F$19="","",RANK(AU40,($AU$6:$AU$85),0))</f>
        <v/>
      </c>
      <c r="H19" s="86" t="str">
        <f>IF('Team Data'!B66="","",'Team Data'!B66)</f>
        <v/>
      </c>
      <c r="I19" s="87"/>
      <c r="J19" s="88" t="str">
        <f>IF($I$19="","",RANK(AU60,($AU$6:$AU$85),0))</f>
        <v/>
      </c>
      <c r="K19" s="86" t="str">
        <f>IF('Team Data'!B67="","",'Team Data'!B67)</f>
        <v/>
      </c>
      <c r="L19" s="87"/>
      <c r="M19" s="88" t="str">
        <f>IF($L$19="","",RANK(AU80,($AU$6:$AU$85),0))</f>
        <v/>
      </c>
      <c r="N19" s="76"/>
      <c r="O19" s="66"/>
      <c r="P19" s="62"/>
      <c r="Q19" s="59" t="s">
        <v>43</v>
      </c>
      <c r="R19" s="27" t="str">
        <f>$H$56</f>
        <v/>
      </c>
      <c r="S19" s="29">
        <f>$I$56</f>
        <v>0</v>
      </c>
      <c r="T19" s="27" t="str">
        <f>$R$192</f>
        <v/>
      </c>
      <c r="U19" s="27">
        <f>$S$192</f>
        <v>0</v>
      </c>
      <c r="V19" s="17">
        <f>$S$193</f>
        <v>0</v>
      </c>
      <c r="W19" s="29">
        <f>$S$194</f>
        <v>0</v>
      </c>
      <c r="X19" s="17"/>
      <c r="Z19" s="19">
        <f>$B$110</f>
        <v>0</v>
      </c>
      <c r="AA19" s="28">
        <f>$C$110</f>
        <v>0</v>
      </c>
      <c r="AF19" s="19">
        <f>$K$119</f>
        <v>0</v>
      </c>
      <c r="AG19" s="29">
        <f>$L$119</f>
        <v>0</v>
      </c>
      <c r="AJ19" s="26"/>
      <c r="AK19" s="26"/>
      <c r="AL19" s="26"/>
      <c r="AM19" s="26"/>
      <c r="AN19" s="26"/>
      <c r="AO19" s="26"/>
      <c r="AP19" s="26"/>
      <c r="AS19" s="2"/>
      <c r="AT19" s="19" t="str">
        <f t="shared" si="0"/>
        <v/>
      </c>
      <c r="AU19" s="28">
        <f t="shared" si="1"/>
        <v>0</v>
      </c>
      <c r="AW19" s="19" t="str">
        <f>AT$29</f>
        <v/>
      </c>
      <c r="AX19" s="29">
        <f>AU$29</f>
        <v>0</v>
      </c>
      <c r="AY19" s="99" t="str">
        <f t="shared" si="2"/>
        <v/>
      </c>
      <c r="AZ19" s="2"/>
      <c r="BA19" s="2"/>
      <c r="BB19" s="2"/>
      <c r="BC19" s="2"/>
    </row>
    <row r="20" spans="1:55" s="1" customFormat="1" ht="20.25" customHeight="1" x14ac:dyDescent="0.25">
      <c r="A20" s="62"/>
      <c r="B20" s="86" t="str">
        <f>IF('Team Data'!B68="","",'Team Data'!B68)</f>
        <v/>
      </c>
      <c r="C20" s="87"/>
      <c r="D20" s="88" t="str">
        <f>IF($C$20="","",RANK(AU21,($AU$6:$AU$85),0))</f>
        <v/>
      </c>
      <c r="E20" s="86" t="str">
        <f>IF('Team Data'!B69="","",'Team Data'!B69)</f>
        <v/>
      </c>
      <c r="F20" s="87"/>
      <c r="G20" s="88" t="str">
        <f>IF($F$20="","",RANK(AU41,($AU$6:$AU$85),0))</f>
        <v/>
      </c>
      <c r="H20" s="86" t="str">
        <f>IF('Team Data'!B70="","",'Team Data'!B70)</f>
        <v/>
      </c>
      <c r="I20" s="87"/>
      <c r="J20" s="88" t="str">
        <f>IF($I$20="","",RANK(AU61,($AU$6:$AU$85),0))</f>
        <v/>
      </c>
      <c r="K20" s="86" t="str">
        <f>IF('Team Data'!B71="","",'Team Data'!B71)</f>
        <v/>
      </c>
      <c r="L20" s="87"/>
      <c r="M20" s="88" t="str">
        <f>IF($L$20="","",RANK(AU81,($AU$6:$AU$85),0))</f>
        <v/>
      </c>
      <c r="N20" s="76"/>
      <c r="O20" s="66"/>
      <c r="P20" s="62"/>
      <c r="Q20" s="59" t="s">
        <v>44</v>
      </c>
      <c r="R20" s="27" t="str">
        <f>$E$31</f>
        <v/>
      </c>
      <c r="S20" s="29">
        <f>$F$31</f>
        <v>0</v>
      </c>
      <c r="T20" s="27" t="str">
        <f>$R$162</f>
        <v/>
      </c>
      <c r="U20" s="27">
        <f>$S$162</f>
        <v>0</v>
      </c>
      <c r="V20" s="17">
        <f>$S$163</f>
        <v>0</v>
      </c>
      <c r="W20" s="29">
        <f>$S$164</f>
        <v>0</v>
      </c>
      <c r="X20" s="17"/>
      <c r="Z20" s="19">
        <f>$H$109</f>
        <v>0</v>
      </c>
      <c r="AA20" s="28">
        <f>$I$109</f>
        <v>0</v>
      </c>
      <c r="AD20" s="5"/>
      <c r="AE20" s="4"/>
      <c r="AF20" s="19">
        <f>$B$120</f>
        <v>0</v>
      </c>
      <c r="AG20" s="29">
        <f>$C$120</f>
        <v>0</v>
      </c>
      <c r="AH20" s="4"/>
      <c r="AJ20" s="26"/>
      <c r="AK20" s="26"/>
      <c r="AL20" s="26"/>
      <c r="AM20" s="26"/>
      <c r="AN20" s="26"/>
      <c r="AO20" s="26"/>
      <c r="AP20" s="26"/>
      <c r="AS20" s="2"/>
      <c r="AT20" s="19" t="str">
        <f t="shared" si="0"/>
        <v/>
      </c>
      <c r="AU20" s="28">
        <f t="shared" si="1"/>
        <v>0</v>
      </c>
      <c r="AW20" s="19" t="str">
        <f>AT$49</f>
        <v/>
      </c>
      <c r="AX20" s="29">
        <f>AU$49</f>
        <v>0</v>
      </c>
      <c r="AY20" s="99" t="str">
        <f t="shared" si="2"/>
        <v/>
      </c>
      <c r="AZ20" s="2"/>
      <c r="BA20" s="2"/>
      <c r="BB20" s="2"/>
      <c r="BC20" s="2"/>
    </row>
    <row r="21" spans="1:55" s="1" customFormat="1" ht="20.25" customHeight="1" x14ac:dyDescent="0.25">
      <c r="A21" s="62"/>
      <c r="B21" s="86" t="str">
        <f>IF('Team Data'!B72="","",'Team Data'!B72)</f>
        <v/>
      </c>
      <c r="C21" s="87"/>
      <c r="D21" s="88" t="str">
        <f>IF($C$21="","",RANK(AU22,($AU$6:$AU$85),0))</f>
        <v/>
      </c>
      <c r="E21" s="86" t="str">
        <f>IF('Team Data'!B73="","",'Team Data'!B73)</f>
        <v/>
      </c>
      <c r="F21" s="87"/>
      <c r="G21" s="88" t="str">
        <f>IF($F$21="","",RANK(AU42,($AU$6:$AU$85),0))</f>
        <v/>
      </c>
      <c r="H21" s="86" t="str">
        <f>IF('Team Data'!B74="","",'Team Data'!B74)</f>
        <v/>
      </c>
      <c r="I21" s="87"/>
      <c r="J21" s="88" t="str">
        <f>IF($I$21="","",RANK(AU62,($AU$6:$AU$85),0))</f>
        <v/>
      </c>
      <c r="K21" s="86" t="str">
        <f>IF('Team Data'!B75="","",'Team Data'!B75)</f>
        <v/>
      </c>
      <c r="L21" s="87"/>
      <c r="M21" s="88" t="str">
        <f>IF($L$21="","",RANK(AU82,($AU$6:$AU$85),0))</f>
        <v/>
      </c>
      <c r="N21" s="76"/>
      <c r="O21" s="66"/>
      <c r="P21" s="62"/>
      <c r="Q21" s="59" t="s">
        <v>45</v>
      </c>
      <c r="R21" s="32" t="str">
        <f>$E$6</f>
        <v/>
      </c>
      <c r="S21" s="31">
        <f>$F$6</f>
        <v>0</v>
      </c>
      <c r="T21" s="32" t="str">
        <f>$R$243</f>
        <v/>
      </c>
      <c r="U21" s="32">
        <f>$S$243</f>
        <v>0</v>
      </c>
      <c r="V21" s="61">
        <f>$S$244</f>
        <v>0</v>
      </c>
      <c r="W21" s="31">
        <f>$S$245</f>
        <v>0</v>
      </c>
      <c r="X21" s="17"/>
      <c r="Z21" s="30">
        <f>$H$110</f>
        <v>0</v>
      </c>
      <c r="AA21" s="31">
        <f>$I$110</f>
        <v>0</v>
      </c>
      <c r="AD21" s="5"/>
      <c r="AE21" s="4"/>
      <c r="AF21" s="30">
        <f>$K$120</f>
        <v>0</v>
      </c>
      <c r="AG21" s="31">
        <f>$L$120</f>
        <v>0</v>
      </c>
      <c r="AH21" s="4"/>
      <c r="AJ21" s="26"/>
      <c r="AK21" s="26"/>
      <c r="AL21" s="26"/>
      <c r="AM21" s="26"/>
      <c r="AN21" s="26"/>
      <c r="AO21" s="26"/>
      <c r="AP21" s="26"/>
      <c r="AS21" s="2"/>
      <c r="AT21" s="19" t="str">
        <f t="shared" si="0"/>
        <v/>
      </c>
      <c r="AU21" s="28">
        <f t="shared" si="1"/>
        <v>0</v>
      </c>
      <c r="AW21" s="19" t="str">
        <f>AT$69</f>
        <v/>
      </c>
      <c r="AX21" s="29">
        <f>AU$69</f>
        <v>0</v>
      </c>
      <c r="AY21" s="99" t="str">
        <f t="shared" si="2"/>
        <v/>
      </c>
      <c r="AZ21" s="2"/>
      <c r="BA21" s="2"/>
      <c r="BB21" s="2"/>
      <c r="BC21" s="2"/>
    </row>
    <row r="22" spans="1:55" s="1" customFormat="1" ht="20.25" customHeight="1" x14ac:dyDescent="0.25">
      <c r="A22" s="62"/>
      <c r="B22" s="86" t="str">
        <f>IF('Team Data'!B76="","",'Team Data'!B76)</f>
        <v/>
      </c>
      <c r="C22" s="87"/>
      <c r="D22" s="88" t="str">
        <f>IF($C$22="","",RANK(AU23,($AU$6:$AU$85),0))</f>
        <v/>
      </c>
      <c r="E22" s="86" t="str">
        <f>IF('Team Data'!B77="","",'Team Data'!B77)</f>
        <v/>
      </c>
      <c r="F22" s="87"/>
      <c r="G22" s="88" t="str">
        <f>IF($F$22="","",RANK(AU43,($AU$6:$AU$85),0))</f>
        <v/>
      </c>
      <c r="H22" s="86" t="str">
        <f>IF('Team Data'!B78="","",'Team Data'!B78)</f>
        <v/>
      </c>
      <c r="I22" s="87"/>
      <c r="J22" s="88" t="str">
        <f>IF($I$22="","",RANK(AU63,($AU$6:$AU$85),0))</f>
        <v/>
      </c>
      <c r="K22" s="86" t="str">
        <f>IF('Team Data'!B79="","",'Team Data'!B79)</f>
        <v/>
      </c>
      <c r="L22" s="87"/>
      <c r="M22" s="88" t="str">
        <f>IF($L$22="","",RANK(AU83,($AU$6:$AU$85),0))</f>
        <v/>
      </c>
      <c r="N22" s="76"/>
      <c r="O22" s="66"/>
      <c r="P22" s="62"/>
      <c r="Q22" s="59" t="s">
        <v>61</v>
      </c>
      <c r="R22" s="27" t="str">
        <f>$B$56</f>
        <v/>
      </c>
      <c r="S22" s="29">
        <f>$C$56</f>
        <v>0</v>
      </c>
      <c r="T22" s="20" t="str">
        <f>$R$189</f>
        <v/>
      </c>
      <c r="U22" s="20">
        <f>$S$189</f>
        <v>0</v>
      </c>
      <c r="V22" s="60">
        <f>$S$190</f>
        <v>0</v>
      </c>
      <c r="W22" s="23">
        <f>$S$191</f>
        <v>0</v>
      </c>
      <c r="X22" s="17"/>
      <c r="Z22" s="2"/>
      <c r="AD22" s="2"/>
      <c r="AE22" s="2"/>
      <c r="AF22" s="2"/>
      <c r="AG22" s="2"/>
      <c r="AH22" s="2"/>
      <c r="AJ22" s="26"/>
      <c r="AK22" s="26"/>
      <c r="AL22" s="26"/>
      <c r="AM22" s="26"/>
      <c r="AN22" s="26"/>
      <c r="AO22" s="26"/>
      <c r="AP22" s="26"/>
      <c r="AS22" s="2"/>
      <c r="AT22" s="19" t="str">
        <f t="shared" si="0"/>
        <v/>
      </c>
      <c r="AU22" s="28">
        <f t="shared" si="1"/>
        <v>0</v>
      </c>
      <c r="AW22" s="19" t="str">
        <f>AT$10</f>
        <v/>
      </c>
      <c r="AX22" s="29">
        <f>AU$10</f>
        <v>0</v>
      </c>
      <c r="AY22" s="99" t="str">
        <f t="shared" si="2"/>
        <v/>
      </c>
      <c r="AZ22" s="2"/>
      <c r="BA22" s="2"/>
      <c r="BB22" s="2"/>
      <c r="BC22" s="2"/>
    </row>
    <row r="23" spans="1:55" s="1" customFormat="1" ht="20.25" customHeight="1" x14ac:dyDescent="0.25">
      <c r="A23" s="62"/>
      <c r="B23" s="86" t="str">
        <f>IF('Team Data'!B80="","",'Team Data'!B80)</f>
        <v/>
      </c>
      <c r="C23" s="87"/>
      <c r="D23" s="88" t="str">
        <f>IF($C$23="","",RANK(AU24,($AU$6:$AU$85),0))</f>
        <v/>
      </c>
      <c r="E23" s="86" t="str">
        <f>IF('Team Data'!B81="","",'Team Data'!B81)</f>
        <v/>
      </c>
      <c r="F23" s="87"/>
      <c r="G23" s="88" t="str">
        <f>IF($F$23="","",RANK(AU44,($AU$6:$AU$85),0))</f>
        <v/>
      </c>
      <c r="H23" s="86" t="str">
        <f>IF('Team Data'!B82="","",'Team Data'!B82)</f>
        <v/>
      </c>
      <c r="I23" s="87"/>
      <c r="J23" s="88" t="str">
        <f>IF($I$23="","",RANK(AU64,($AU$6:$AU$85),0))</f>
        <v/>
      </c>
      <c r="K23" s="86" t="str">
        <f>IF('Team Data'!B83="","",'Team Data'!B83)</f>
        <v/>
      </c>
      <c r="L23" s="87"/>
      <c r="M23" s="88" t="str">
        <f>IF($L$23="","",RANK(AU84,($AU$6:$AU$85),0))</f>
        <v/>
      </c>
      <c r="N23" s="76"/>
      <c r="O23" s="66"/>
      <c r="P23" s="62"/>
      <c r="Q23" s="59" t="s">
        <v>62</v>
      </c>
      <c r="R23" s="27" t="str">
        <f>$H$31</f>
        <v/>
      </c>
      <c r="S23" s="29">
        <f>$I$31</f>
        <v>0</v>
      </c>
      <c r="T23" s="27" t="str">
        <f>$R$201</f>
        <v/>
      </c>
      <c r="U23" s="27">
        <f>$S$201</f>
        <v>0</v>
      </c>
      <c r="V23" s="17">
        <f>$S$202</f>
        <v>0</v>
      </c>
      <c r="W23" s="29">
        <f>$S$203</f>
        <v>0</v>
      </c>
      <c r="X23" s="17"/>
      <c r="Z23" s="2"/>
      <c r="AS23" s="2"/>
      <c r="AT23" s="19" t="str">
        <f t="shared" si="0"/>
        <v/>
      </c>
      <c r="AU23" s="28">
        <f t="shared" si="1"/>
        <v>0</v>
      </c>
      <c r="AW23" s="19" t="str">
        <f>AT$30</f>
        <v/>
      </c>
      <c r="AX23" s="29">
        <f>AU$30</f>
        <v>0</v>
      </c>
      <c r="AY23" s="99" t="str">
        <f t="shared" si="2"/>
        <v/>
      </c>
      <c r="AZ23" s="2"/>
      <c r="BA23" s="2"/>
      <c r="BB23" s="2"/>
      <c r="BC23" s="2"/>
    </row>
    <row r="24" spans="1:55" s="1" customFormat="1" ht="20.25" customHeight="1" x14ac:dyDescent="0.25">
      <c r="A24" s="62"/>
      <c r="B24" s="89" t="str">
        <f>IF('Team Data'!B84="","",'Team Data'!B84)</f>
        <v/>
      </c>
      <c r="C24" s="87"/>
      <c r="D24" s="90" t="str">
        <f>IF($C$24="","",RANK(AU25,($AU$6:$AU$85),0))</f>
        <v/>
      </c>
      <c r="E24" s="89" t="str">
        <f>IF('Team Data'!B85="","",'Team Data'!B85)</f>
        <v/>
      </c>
      <c r="F24" s="87"/>
      <c r="G24" s="90" t="str">
        <f>IF($F$24="","",RANK(AU45,($AU$6:$AU$85),0))</f>
        <v/>
      </c>
      <c r="H24" s="89" t="str">
        <f>IF('Team Data'!B86="","",'Team Data'!B86)</f>
        <v/>
      </c>
      <c r="I24" s="87"/>
      <c r="J24" s="90" t="str">
        <f>IF($I$24="","",RANK(AU65,($AU$6:$AU$85),0))</f>
        <v/>
      </c>
      <c r="K24" s="89" t="str">
        <f>IF('Team Data'!B87="","",'Team Data'!B87)</f>
        <v/>
      </c>
      <c r="L24" s="87"/>
      <c r="M24" s="90" t="str">
        <f>IF($L$24="","",RANK(AU85,($AU$6:$AU$85),0))</f>
        <v/>
      </c>
      <c r="N24" s="76" t="s">
        <v>6</v>
      </c>
      <c r="O24" s="66"/>
      <c r="P24" s="62"/>
      <c r="Q24" s="59" t="s">
        <v>63</v>
      </c>
      <c r="R24" s="27" t="str">
        <f>$H$6</f>
        <v/>
      </c>
      <c r="S24" s="29">
        <f>$I$6</f>
        <v>0</v>
      </c>
      <c r="T24" s="27" t="str">
        <f>$R$219</f>
        <v/>
      </c>
      <c r="U24" s="27">
        <f>$S$219</f>
        <v>0</v>
      </c>
      <c r="V24" s="17">
        <f>$S$220</f>
        <v>0</v>
      </c>
      <c r="W24" s="29">
        <f>$S$221</f>
        <v>0</v>
      </c>
      <c r="X24" s="17"/>
      <c r="Z24" s="2"/>
      <c r="AD24" s="2"/>
      <c r="AE24" s="2"/>
      <c r="AF24" s="2"/>
      <c r="AG24" s="2"/>
      <c r="AH24" s="2"/>
      <c r="AI24" s="2"/>
      <c r="AJ24" s="2"/>
      <c r="AK24" s="2"/>
      <c r="AL24" s="2"/>
      <c r="AM24" s="2"/>
      <c r="AN24" s="2"/>
      <c r="AO24" s="2"/>
      <c r="AP24" s="2"/>
      <c r="AQ24" s="2"/>
      <c r="AR24" s="2"/>
      <c r="AS24" s="2"/>
      <c r="AT24" s="19" t="str">
        <f t="shared" si="0"/>
        <v/>
      </c>
      <c r="AU24" s="28">
        <f t="shared" si="1"/>
        <v>0</v>
      </c>
      <c r="AW24" s="19" t="str">
        <f>AT$50</f>
        <v/>
      </c>
      <c r="AX24" s="29">
        <f>AU$50</f>
        <v>0</v>
      </c>
      <c r="AY24" s="99" t="str">
        <f t="shared" si="2"/>
        <v/>
      </c>
      <c r="AZ24" s="2"/>
      <c r="BA24" s="2"/>
      <c r="BB24" s="2"/>
      <c r="BC24" s="2"/>
    </row>
    <row r="25" spans="1:55" s="1" customFormat="1" ht="20.25" customHeight="1" thickBot="1" x14ac:dyDescent="0.3">
      <c r="A25" s="66"/>
      <c r="B25" s="66"/>
      <c r="C25" s="66"/>
      <c r="D25" s="66"/>
      <c r="E25" s="66"/>
      <c r="F25" s="66"/>
      <c r="G25" s="66"/>
      <c r="H25" s="66"/>
      <c r="I25" s="66"/>
      <c r="J25" s="66"/>
      <c r="K25" s="66"/>
      <c r="L25" s="66"/>
      <c r="M25" s="66"/>
      <c r="N25" s="66"/>
      <c r="O25" s="66"/>
      <c r="P25" s="62"/>
      <c r="Q25" s="59" t="s">
        <v>64</v>
      </c>
      <c r="R25" s="27" t="str">
        <f>$K$31</f>
        <v/>
      </c>
      <c r="S25" s="29">
        <f>$L$31</f>
        <v>0</v>
      </c>
      <c r="T25" s="27" t="str">
        <f>$R$210</f>
        <v/>
      </c>
      <c r="U25" s="27">
        <f>$S$210</f>
        <v>0</v>
      </c>
      <c r="V25" s="17">
        <f>$S$211</f>
        <v>0</v>
      </c>
      <c r="W25" s="29">
        <f>$S$212</f>
        <v>0</v>
      </c>
      <c r="X25" s="17"/>
      <c r="Z25" s="2"/>
      <c r="AA25" s="2"/>
      <c r="AB25" s="2"/>
      <c r="AC25" s="2"/>
      <c r="AD25" s="2"/>
      <c r="AE25" s="2"/>
      <c r="AF25" s="2"/>
      <c r="AG25" s="2"/>
      <c r="AH25" s="2"/>
      <c r="AI25" s="2"/>
      <c r="AJ25" s="2"/>
      <c r="AK25" s="2"/>
      <c r="AL25" s="2"/>
      <c r="AM25" s="2"/>
      <c r="AN25" s="2"/>
      <c r="AO25" s="2"/>
      <c r="AP25" s="2"/>
      <c r="AQ25" s="2"/>
      <c r="AR25" s="2"/>
      <c r="AS25" s="2"/>
      <c r="AT25" s="19" t="str">
        <f t="shared" si="0"/>
        <v/>
      </c>
      <c r="AU25" s="28">
        <f t="shared" si="1"/>
        <v>0</v>
      </c>
      <c r="AW25" s="19" t="str">
        <f>AT$70</f>
        <v/>
      </c>
      <c r="AX25" s="29">
        <f>AU$70</f>
        <v>0</v>
      </c>
      <c r="AY25" s="99" t="str">
        <f t="shared" si="2"/>
        <v/>
      </c>
      <c r="AZ25" s="2"/>
      <c r="BA25" s="2"/>
      <c r="BB25" s="2"/>
      <c r="BC25" s="2"/>
    </row>
    <row r="26" spans="1:55" s="1" customFormat="1" ht="20.25" customHeight="1" thickTop="1" thickBot="1" x14ac:dyDescent="0.3">
      <c r="A26" s="62"/>
      <c r="B26" s="70"/>
      <c r="C26" s="71"/>
      <c r="D26" s="71"/>
      <c r="E26" s="71"/>
      <c r="F26" s="71"/>
      <c r="G26" s="71"/>
      <c r="H26" s="71"/>
      <c r="I26" s="71"/>
      <c r="J26" s="71"/>
      <c r="K26" s="71"/>
      <c r="L26" s="71"/>
      <c r="M26" s="71"/>
      <c r="N26" s="76"/>
      <c r="O26" s="66"/>
      <c r="P26" s="62"/>
      <c r="Q26" s="59" t="s">
        <v>65</v>
      </c>
      <c r="R26" s="27" t="str">
        <f>$K$56</f>
        <v/>
      </c>
      <c r="S26" s="29">
        <f>$L$56</f>
        <v>0</v>
      </c>
      <c r="T26" s="27" t="str">
        <f>$R$180</f>
        <v/>
      </c>
      <c r="U26" s="27">
        <f>$S$180</f>
        <v>0</v>
      </c>
      <c r="V26" s="17">
        <f>$S$181</f>
        <v>0</v>
      </c>
      <c r="W26" s="29">
        <f>$S$182</f>
        <v>0</v>
      </c>
      <c r="X26" s="17"/>
      <c r="Z26" s="2"/>
      <c r="AA26" s="2"/>
      <c r="AB26" s="2"/>
      <c r="AC26" s="2"/>
      <c r="AD26" s="2"/>
      <c r="AE26" s="2"/>
      <c r="AF26" s="2"/>
      <c r="AG26" s="2"/>
      <c r="AH26" s="2"/>
      <c r="AI26" s="2"/>
      <c r="AJ26" s="2"/>
      <c r="AK26" s="2"/>
      <c r="AL26" s="2"/>
      <c r="AM26" s="2"/>
      <c r="AN26" s="2"/>
      <c r="AO26" s="2"/>
      <c r="AP26" s="2"/>
      <c r="AQ26" s="2"/>
      <c r="AR26" s="2"/>
      <c r="AS26" s="2"/>
      <c r="AT26" s="19">
        <f t="shared" ref="AT26:AT45" si="3">E5</f>
        <v>2</v>
      </c>
      <c r="AU26" s="28">
        <f t="shared" ref="AU26:AU45" si="4">MAX(F5,I30,C55)</f>
        <v>0</v>
      </c>
      <c r="AW26" s="19" t="str">
        <f>AT$11</f>
        <v/>
      </c>
      <c r="AX26" s="29">
        <f>AU$11</f>
        <v>0</v>
      </c>
      <c r="AY26" s="99" t="str">
        <f t="shared" si="2"/>
        <v/>
      </c>
      <c r="AZ26" s="2"/>
      <c r="BA26" s="2"/>
      <c r="BB26" s="2"/>
      <c r="BC26" s="2"/>
    </row>
    <row r="27" spans="1:55" s="1" customFormat="1" ht="20.25" customHeight="1" thickBot="1" x14ac:dyDescent="0.3">
      <c r="A27" s="62"/>
      <c r="B27" s="172" t="s">
        <v>57</v>
      </c>
      <c r="C27" s="173"/>
      <c r="D27" s="173"/>
      <c r="E27" s="173"/>
      <c r="F27" s="173"/>
      <c r="G27" s="173"/>
      <c r="H27" s="173"/>
      <c r="I27" s="173"/>
      <c r="J27" s="173"/>
      <c r="K27" s="173"/>
      <c r="L27" s="173"/>
      <c r="M27" s="174"/>
      <c r="N27" s="76"/>
      <c r="O27" s="66"/>
      <c r="P27" s="62"/>
      <c r="Q27" s="59" t="s">
        <v>66</v>
      </c>
      <c r="R27" s="27" t="str">
        <f>$K$6</f>
        <v/>
      </c>
      <c r="S27" s="29">
        <f>$L$6</f>
        <v>0</v>
      </c>
      <c r="T27" s="27" t="str">
        <f>$R$198</f>
        <v/>
      </c>
      <c r="U27" s="27">
        <f>$S$198</f>
        <v>0</v>
      </c>
      <c r="V27" s="17">
        <f>$S$199</f>
        <v>0</v>
      </c>
      <c r="W27" s="29">
        <f>$S$200</f>
        <v>0</v>
      </c>
      <c r="X27" s="17"/>
      <c r="Z27" s="2"/>
      <c r="AA27" s="2"/>
      <c r="AB27" s="2"/>
      <c r="AC27" s="2"/>
      <c r="AD27" s="2"/>
      <c r="AE27" s="2"/>
      <c r="AF27" s="2"/>
      <c r="AG27" s="2"/>
      <c r="AH27" s="2"/>
      <c r="AI27" s="2"/>
      <c r="AJ27" s="2"/>
      <c r="AK27" s="2"/>
      <c r="AL27" s="2"/>
      <c r="AM27" s="2"/>
      <c r="AN27" s="2"/>
      <c r="AO27" s="2"/>
      <c r="AP27" s="2"/>
      <c r="AQ27" s="2"/>
      <c r="AR27" s="2"/>
      <c r="AS27" s="2"/>
      <c r="AT27" s="19" t="str">
        <f t="shared" si="3"/>
        <v/>
      </c>
      <c r="AU27" s="28">
        <f t="shared" si="4"/>
        <v>0</v>
      </c>
      <c r="AW27" s="19" t="str">
        <f>AT$31</f>
        <v/>
      </c>
      <c r="AX27" s="29">
        <f>AU$31</f>
        <v>0</v>
      </c>
      <c r="AY27" s="99" t="str">
        <f t="shared" si="2"/>
        <v/>
      </c>
      <c r="AZ27" s="2"/>
      <c r="BA27" s="2"/>
      <c r="BB27" s="2"/>
      <c r="BC27" s="2"/>
    </row>
    <row r="28" spans="1:55" s="1" customFormat="1" ht="20.25" customHeight="1" thickBot="1" x14ac:dyDescent="0.3">
      <c r="A28" s="62"/>
      <c r="B28" s="175" t="s">
        <v>51</v>
      </c>
      <c r="C28" s="176"/>
      <c r="D28" s="177"/>
      <c r="E28" s="175" t="s">
        <v>52</v>
      </c>
      <c r="F28" s="176"/>
      <c r="G28" s="177"/>
      <c r="H28" s="175" t="s">
        <v>53</v>
      </c>
      <c r="I28" s="176"/>
      <c r="J28" s="177"/>
      <c r="K28" s="175" t="s">
        <v>54</v>
      </c>
      <c r="L28" s="176"/>
      <c r="M28" s="177"/>
      <c r="N28" s="76"/>
      <c r="O28" s="66"/>
      <c r="P28" s="62"/>
      <c r="Q28" s="59" t="s">
        <v>67</v>
      </c>
      <c r="R28" s="27" t="str">
        <f>$E$56</f>
        <v/>
      </c>
      <c r="S28" s="29">
        <f>$F$56</f>
        <v>0</v>
      </c>
      <c r="T28" s="27" t="str">
        <f>$R$174</f>
        <v/>
      </c>
      <c r="U28" s="27">
        <f>$S$174</f>
        <v>0</v>
      </c>
      <c r="V28" s="17">
        <f>$S$175</f>
        <v>0</v>
      </c>
      <c r="W28" s="29">
        <f>$S$176</f>
        <v>0</v>
      </c>
      <c r="X28" s="17"/>
      <c r="Z28" s="2"/>
      <c r="AA28" s="2"/>
      <c r="AB28" s="2"/>
      <c r="AC28" s="2"/>
      <c r="AD28" s="2"/>
      <c r="AE28" s="2"/>
      <c r="AF28" s="2"/>
      <c r="AG28" s="2"/>
      <c r="AH28" s="2"/>
      <c r="AI28" s="2"/>
      <c r="AJ28" s="2"/>
      <c r="AK28" s="2"/>
      <c r="AL28" s="2"/>
      <c r="AM28" s="2"/>
      <c r="AN28" s="2"/>
      <c r="AO28" s="2"/>
      <c r="AP28" s="2"/>
      <c r="AQ28" s="2"/>
      <c r="AR28" s="2"/>
      <c r="AS28" s="2"/>
      <c r="AT28" s="19" t="str">
        <f t="shared" si="3"/>
        <v/>
      </c>
      <c r="AU28" s="28">
        <f t="shared" si="4"/>
        <v>0</v>
      </c>
      <c r="AW28" s="19" t="str">
        <f>AT$51</f>
        <v/>
      </c>
      <c r="AX28" s="29">
        <f>AU$51</f>
        <v>0</v>
      </c>
      <c r="AY28" s="99" t="str">
        <f t="shared" si="2"/>
        <v/>
      </c>
      <c r="AZ28" s="2"/>
      <c r="BA28" s="2"/>
      <c r="BB28" s="2"/>
      <c r="BC28" s="2"/>
    </row>
    <row r="29" spans="1:55" s="1" customFormat="1" ht="20.25" customHeight="1" thickBot="1" x14ac:dyDescent="0.3">
      <c r="A29" s="62"/>
      <c r="B29" s="34" t="s">
        <v>3</v>
      </c>
      <c r="C29" s="35" t="s">
        <v>4</v>
      </c>
      <c r="D29" s="36" t="s">
        <v>5</v>
      </c>
      <c r="E29" s="37" t="s">
        <v>3</v>
      </c>
      <c r="F29" s="35" t="s">
        <v>4</v>
      </c>
      <c r="G29" s="38" t="s">
        <v>5</v>
      </c>
      <c r="H29" s="37" t="s">
        <v>3</v>
      </c>
      <c r="I29" s="35" t="s">
        <v>4</v>
      </c>
      <c r="J29" s="36" t="s">
        <v>5</v>
      </c>
      <c r="K29" s="37" t="s">
        <v>3</v>
      </c>
      <c r="L29" s="35" t="s">
        <v>4</v>
      </c>
      <c r="M29" s="36" t="s">
        <v>5</v>
      </c>
      <c r="N29" s="76"/>
      <c r="O29" s="66"/>
      <c r="P29" s="62"/>
      <c r="Q29" s="59" t="s">
        <v>68</v>
      </c>
      <c r="R29" s="27" t="str">
        <f>$B$31</f>
        <v/>
      </c>
      <c r="S29" s="29">
        <f>$C$31</f>
        <v>0</v>
      </c>
      <c r="T29" s="27" t="str">
        <f>$R$177</f>
        <v/>
      </c>
      <c r="U29" s="27">
        <f>$S$177</f>
        <v>0</v>
      </c>
      <c r="V29" s="17">
        <f>$S$178</f>
        <v>0</v>
      </c>
      <c r="W29" s="29">
        <f>$S$179</f>
        <v>0</v>
      </c>
      <c r="X29" s="17"/>
      <c r="Z29" s="2"/>
      <c r="AA29" s="2"/>
      <c r="AB29" s="2"/>
      <c r="AC29" s="2"/>
      <c r="AD29" s="2"/>
      <c r="AE29" s="2"/>
      <c r="AF29" s="2"/>
      <c r="AG29" s="2"/>
      <c r="AH29" s="2"/>
      <c r="AI29" s="2"/>
      <c r="AJ29" s="2"/>
      <c r="AK29" s="2"/>
      <c r="AL29" s="2"/>
      <c r="AM29" s="2"/>
      <c r="AN29" s="2"/>
      <c r="AO29" s="2"/>
      <c r="AP29" s="2"/>
      <c r="AQ29" s="2"/>
      <c r="AR29" s="2"/>
      <c r="AS29" s="2"/>
      <c r="AT29" s="19" t="str">
        <f t="shared" si="3"/>
        <v/>
      </c>
      <c r="AU29" s="28">
        <f t="shared" si="4"/>
        <v>0</v>
      </c>
      <c r="AW29" s="19" t="str">
        <f>AT$71</f>
        <v/>
      </c>
      <c r="AX29" s="29">
        <f>AU$71</f>
        <v>0</v>
      </c>
      <c r="AY29" s="99" t="str">
        <f t="shared" si="2"/>
        <v/>
      </c>
      <c r="AZ29" s="2"/>
      <c r="BA29" s="2"/>
      <c r="BB29" s="2"/>
      <c r="BC29" s="2"/>
    </row>
    <row r="30" spans="1:55" s="1" customFormat="1" ht="20.25" customHeight="1" x14ac:dyDescent="0.25">
      <c r="A30" s="62"/>
      <c r="B30" s="91">
        <f t="shared" ref="B30:B49" si="5">K5</f>
        <v>4</v>
      </c>
      <c r="C30" s="87"/>
      <c r="D30" s="88" t="str">
        <f t="shared" ref="D30:D49" si="6">IF(C30="","",M5)</f>
        <v/>
      </c>
      <c r="E30" s="86">
        <f t="shared" ref="E30:E49" si="7">B5</f>
        <v>1</v>
      </c>
      <c r="F30" s="87"/>
      <c r="G30" s="88" t="str">
        <f t="shared" ref="G30:G49" si="8">IF(F30="","",D5)</f>
        <v/>
      </c>
      <c r="H30" s="91">
        <f t="shared" ref="H30:H49" si="9">E5</f>
        <v>2</v>
      </c>
      <c r="I30" s="87"/>
      <c r="J30" s="88" t="str">
        <f t="shared" ref="J30:J49" si="10">IF(I30="","",G5)</f>
        <v/>
      </c>
      <c r="K30" s="91">
        <f t="shared" ref="K30:K49" si="11">H5</f>
        <v>3</v>
      </c>
      <c r="L30" s="87"/>
      <c r="M30" s="88" t="str">
        <f t="shared" ref="M30:M49" si="12">IF(L30="","",J5)</f>
        <v/>
      </c>
      <c r="N30" s="76"/>
      <c r="O30" s="66"/>
      <c r="P30" s="62"/>
      <c r="Q30" s="59" t="s">
        <v>69</v>
      </c>
      <c r="R30" s="27" t="str">
        <f>$B$7</f>
        <v/>
      </c>
      <c r="S30" s="29">
        <f>$C$7</f>
        <v>0</v>
      </c>
      <c r="T30" s="27" t="str">
        <f>$R$183</f>
        <v/>
      </c>
      <c r="U30" s="27">
        <f>$S$183</f>
        <v>0</v>
      </c>
      <c r="V30" s="17">
        <f>$S$184</f>
        <v>0</v>
      </c>
      <c r="W30" s="29">
        <f>$S$185</f>
        <v>0</v>
      </c>
      <c r="X30" s="17"/>
      <c r="Z30" s="2"/>
      <c r="AA30" s="2"/>
      <c r="AB30" s="2"/>
      <c r="AC30" s="2"/>
      <c r="AD30" s="2"/>
      <c r="AE30" s="2"/>
      <c r="AF30" s="2"/>
      <c r="AG30" s="2"/>
      <c r="AH30" s="2"/>
      <c r="AI30" s="2"/>
      <c r="AJ30" s="2"/>
      <c r="AK30" s="2"/>
      <c r="AL30" s="2"/>
      <c r="AM30" s="2"/>
      <c r="AN30" s="2"/>
      <c r="AO30" s="2"/>
      <c r="AP30" s="2"/>
      <c r="AQ30" s="2"/>
      <c r="AR30" s="2"/>
      <c r="AS30" s="2"/>
      <c r="AT30" s="19" t="str">
        <f t="shared" si="3"/>
        <v/>
      </c>
      <c r="AU30" s="28">
        <f t="shared" si="4"/>
        <v>0</v>
      </c>
      <c r="AW30" s="19" t="str">
        <f>AT$12</f>
        <v/>
      </c>
      <c r="AX30" s="29">
        <f>AU$12</f>
        <v>0</v>
      </c>
      <c r="AY30" s="99" t="str">
        <f t="shared" si="2"/>
        <v/>
      </c>
      <c r="AZ30" s="2"/>
      <c r="BA30" s="2"/>
      <c r="BB30" s="2"/>
      <c r="BC30" s="2"/>
    </row>
    <row r="31" spans="1:55" s="1" customFormat="1" ht="20.25" customHeight="1" x14ac:dyDescent="0.25">
      <c r="A31" s="62"/>
      <c r="B31" s="91" t="str">
        <f t="shared" si="5"/>
        <v/>
      </c>
      <c r="C31" s="87"/>
      <c r="D31" s="88" t="str">
        <f t="shared" si="6"/>
        <v/>
      </c>
      <c r="E31" s="86" t="str">
        <f t="shared" si="7"/>
        <v/>
      </c>
      <c r="F31" s="87"/>
      <c r="G31" s="88" t="str">
        <f t="shared" si="8"/>
        <v/>
      </c>
      <c r="H31" s="91" t="str">
        <f t="shared" si="9"/>
        <v/>
      </c>
      <c r="I31" s="87"/>
      <c r="J31" s="88" t="str">
        <f t="shared" si="10"/>
        <v/>
      </c>
      <c r="K31" s="91" t="str">
        <f t="shared" si="11"/>
        <v/>
      </c>
      <c r="L31" s="87"/>
      <c r="M31" s="88" t="str">
        <f t="shared" si="12"/>
        <v/>
      </c>
      <c r="N31" s="76"/>
      <c r="O31" s="66"/>
      <c r="P31" s="62"/>
      <c r="Q31" s="59" t="s">
        <v>70</v>
      </c>
      <c r="R31" s="27" t="str">
        <f>$E$32</f>
        <v/>
      </c>
      <c r="S31" s="29">
        <f>$F$32</f>
        <v>0</v>
      </c>
      <c r="T31" s="27" t="str">
        <f>$R$213</f>
        <v/>
      </c>
      <c r="U31" s="27">
        <f>$S$213</f>
        <v>0</v>
      </c>
      <c r="V31" s="17">
        <f>$S$214</f>
        <v>0</v>
      </c>
      <c r="W31" s="29">
        <f>$S$215</f>
        <v>0</v>
      </c>
      <c r="X31" s="17"/>
      <c r="Z31" s="2"/>
      <c r="AA31" s="2"/>
      <c r="AB31" s="2"/>
      <c r="AC31" s="2"/>
      <c r="AD31" s="2"/>
      <c r="AE31" s="2"/>
      <c r="AF31" s="2"/>
      <c r="AG31" s="2"/>
      <c r="AH31" s="2"/>
      <c r="AI31" s="2"/>
      <c r="AJ31" s="2"/>
      <c r="AK31" s="2"/>
      <c r="AL31" s="2"/>
      <c r="AM31" s="2"/>
      <c r="AN31" s="2"/>
      <c r="AO31" s="2"/>
      <c r="AP31" s="2"/>
      <c r="AQ31" s="2"/>
      <c r="AR31" s="2"/>
      <c r="AS31" s="2"/>
      <c r="AT31" s="19" t="str">
        <f t="shared" si="3"/>
        <v/>
      </c>
      <c r="AU31" s="28">
        <f t="shared" si="4"/>
        <v>0</v>
      </c>
      <c r="AW31" s="19" t="str">
        <f>AT$32</f>
        <v/>
      </c>
      <c r="AX31" s="29">
        <f>AU$32</f>
        <v>0</v>
      </c>
      <c r="AY31" s="99" t="str">
        <f t="shared" si="2"/>
        <v/>
      </c>
      <c r="AZ31" s="2"/>
      <c r="BA31" s="2"/>
      <c r="BB31" s="2"/>
      <c r="BC31" s="2"/>
    </row>
    <row r="32" spans="1:55" s="1" customFormat="1" ht="20.25" customHeight="1" x14ac:dyDescent="0.25">
      <c r="A32" s="62"/>
      <c r="B32" s="91" t="str">
        <f t="shared" si="5"/>
        <v/>
      </c>
      <c r="C32" s="87"/>
      <c r="D32" s="88" t="str">
        <f t="shared" si="6"/>
        <v/>
      </c>
      <c r="E32" s="86" t="str">
        <f t="shared" si="7"/>
        <v/>
      </c>
      <c r="F32" s="87"/>
      <c r="G32" s="88" t="str">
        <f t="shared" si="8"/>
        <v/>
      </c>
      <c r="H32" s="91" t="str">
        <f t="shared" si="9"/>
        <v/>
      </c>
      <c r="I32" s="87"/>
      <c r="J32" s="88" t="str">
        <f t="shared" si="10"/>
        <v/>
      </c>
      <c r="K32" s="91" t="str">
        <f t="shared" si="11"/>
        <v/>
      </c>
      <c r="L32" s="87"/>
      <c r="M32" s="88" t="str">
        <f t="shared" si="12"/>
        <v/>
      </c>
      <c r="N32" s="76"/>
      <c r="O32" s="66"/>
      <c r="P32" s="62"/>
      <c r="Q32" s="59" t="s">
        <v>71</v>
      </c>
      <c r="R32" s="27" t="str">
        <f>$H$57</f>
        <v/>
      </c>
      <c r="S32" s="29">
        <f>$I$57</f>
        <v>0</v>
      </c>
      <c r="T32" s="27" t="str">
        <f>$R$237</f>
        <v/>
      </c>
      <c r="U32" s="27">
        <f>$S$237</f>
        <v>0</v>
      </c>
      <c r="V32" s="17">
        <f>$S$238</f>
        <v>0</v>
      </c>
      <c r="W32" s="29">
        <f>$S$239</f>
        <v>0</v>
      </c>
      <c r="X32" s="17"/>
      <c r="Z32" s="2"/>
      <c r="AA32" s="2"/>
      <c r="AB32" s="2"/>
      <c r="AC32" s="2"/>
      <c r="AD32" s="2"/>
      <c r="AE32" s="2"/>
      <c r="AF32" s="2"/>
      <c r="AG32" s="2"/>
      <c r="AH32" s="2"/>
      <c r="AI32" s="2"/>
      <c r="AJ32" s="2"/>
      <c r="AK32" s="2"/>
      <c r="AL32" s="2"/>
      <c r="AM32" s="2"/>
      <c r="AN32" s="2"/>
      <c r="AO32" s="2"/>
      <c r="AP32" s="2"/>
      <c r="AQ32" s="2"/>
      <c r="AR32" s="2"/>
      <c r="AS32" s="2"/>
      <c r="AT32" s="19" t="str">
        <f t="shared" si="3"/>
        <v/>
      </c>
      <c r="AU32" s="28">
        <f t="shared" si="4"/>
        <v>0</v>
      </c>
      <c r="AW32" s="19" t="str">
        <f>AT$52</f>
        <v/>
      </c>
      <c r="AX32" s="29">
        <f>AU$52</f>
        <v>0</v>
      </c>
      <c r="AY32" s="99" t="str">
        <f t="shared" si="2"/>
        <v/>
      </c>
      <c r="AZ32" s="2"/>
      <c r="BA32" s="2"/>
      <c r="BB32" s="2"/>
      <c r="BC32" s="2"/>
    </row>
    <row r="33" spans="1:55" s="1" customFormat="1" ht="20.25" customHeight="1" x14ac:dyDescent="0.25">
      <c r="A33" s="62"/>
      <c r="B33" s="91" t="str">
        <f t="shared" si="5"/>
        <v/>
      </c>
      <c r="C33" s="87"/>
      <c r="D33" s="88" t="str">
        <f t="shared" si="6"/>
        <v/>
      </c>
      <c r="E33" s="86" t="str">
        <f t="shared" si="7"/>
        <v/>
      </c>
      <c r="F33" s="87"/>
      <c r="G33" s="88" t="str">
        <f t="shared" si="8"/>
        <v/>
      </c>
      <c r="H33" s="91" t="str">
        <f t="shared" si="9"/>
        <v/>
      </c>
      <c r="I33" s="87"/>
      <c r="J33" s="88" t="str">
        <f t="shared" si="10"/>
        <v/>
      </c>
      <c r="K33" s="91" t="str">
        <f t="shared" si="11"/>
        <v/>
      </c>
      <c r="L33" s="87"/>
      <c r="M33" s="88" t="str">
        <f t="shared" si="12"/>
        <v/>
      </c>
      <c r="N33" s="76"/>
      <c r="O33" s="66"/>
      <c r="P33" s="62"/>
      <c r="Q33" s="59" t="s">
        <v>72</v>
      </c>
      <c r="R33" s="27" t="str">
        <f>$E$7</f>
        <v/>
      </c>
      <c r="S33" s="29">
        <f>$F$7</f>
        <v>0</v>
      </c>
      <c r="T33" s="27" t="str">
        <f>$R$168</f>
        <v/>
      </c>
      <c r="U33" s="27">
        <f>$S$168</f>
        <v>0</v>
      </c>
      <c r="V33" s="17">
        <f>$S$169</f>
        <v>0</v>
      </c>
      <c r="W33" s="29">
        <f>$S$170</f>
        <v>0</v>
      </c>
      <c r="X33" s="17"/>
      <c r="Z33" s="2"/>
      <c r="AA33" s="2"/>
      <c r="AB33" s="2"/>
      <c r="AC33" s="2"/>
      <c r="AD33" s="2"/>
      <c r="AE33" s="2"/>
      <c r="AF33" s="2"/>
      <c r="AG33" s="2"/>
      <c r="AH33" s="2"/>
      <c r="AI33" s="2"/>
      <c r="AJ33" s="2"/>
      <c r="AK33" s="2"/>
      <c r="AL33" s="2"/>
      <c r="AM33" s="2"/>
      <c r="AN33" s="2"/>
      <c r="AO33" s="2"/>
      <c r="AP33" s="2"/>
      <c r="AQ33" s="2"/>
      <c r="AR33" s="2"/>
      <c r="AS33" s="2"/>
      <c r="AT33" s="19" t="str">
        <f t="shared" si="3"/>
        <v/>
      </c>
      <c r="AU33" s="28">
        <f t="shared" si="4"/>
        <v>0</v>
      </c>
      <c r="AW33" s="19" t="str">
        <f>AT$72</f>
        <v/>
      </c>
      <c r="AX33" s="29">
        <f>AU$72</f>
        <v>0</v>
      </c>
      <c r="AY33" s="99" t="str">
        <f t="shared" si="2"/>
        <v/>
      </c>
      <c r="AZ33" s="2"/>
      <c r="BA33" s="2"/>
      <c r="BB33" s="2"/>
      <c r="BC33" s="2"/>
    </row>
    <row r="34" spans="1:55" s="1" customFormat="1" ht="20.25" customHeight="1" x14ac:dyDescent="0.25">
      <c r="A34" s="62"/>
      <c r="B34" s="91" t="str">
        <f t="shared" si="5"/>
        <v/>
      </c>
      <c r="C34" s="87"/>
      <c r="D34" s="88" t="str">
        <f t="shared" si="6"/>
        <v/>
      </c>
      <c r="E34" s="86" t="str">
        <f t="shared" si="7"/>
        <v/>
      </c>
      <c r="F34" s="87"/>
      <c r="G34" s="88" t="str">
        <f t="shared" si="8"/>
        <v/>
      </c>
      <c r="H34" s="91" t="str">
        <f t="shared" si="9"/>
        <v/>
      </c>
      <c r="I34" s="87"/>
      <c r="J34" s="88" t="str">
        <f t="shared" si="10"/>
        <v/>
      </c>
      <c r="K34" s="91" t="str">
        <f t="shared" si="11"/>
        <v/>
      </c>
      <c r="L34" s="87"/>
      <c r="M34" s="88" t="str">
        <f t="shared" si="12"/>
        <v/>
      </c>
      <c r="N34" s="76"/>
      <c r="O34" s="66"/>
      <c r="P34" s="62"/>
      <c r="Q34" s="59" t="s">
        <v>73</v>
      </c>
      <c r="R34" s="27" t="str">
        <f>$H$32</f>
        <v/>
      </c>
      <c r="S34" s="29">
        <f>$I$32</f>
        <v>0</v>
      </c>
      <c r="T34" s="27" t="str">
        <f>$R$240</f>
        <v/>
      </c>
      <c r="U34" s="27">
        <f>$S$240</f>
        <v>0</v>
      </c>
      <c r="V34" s="17">
        <f>$S$241</f>
        <v>0</v>
      </c>
      <c r="W34" s="29">
        <f>$S$242</f>
        <v>0</v>
      </c>
      <c r="X34" s="17"/>
      <c r="Z34" s="2"/>
      <c r="AA34" s="2"/>
      <c r="AB34" s="2"/>
      <c r="AC34" s="2"/>
      <c r="AD34" s="2"/>
      <c r="AE34" s="2"/>
      <c r="AF34" s="2"/>
      <c r="AG34" s="2"/>
      <c r="AH34" s="2"/>
      <c r="AI34" s="2"/>
      <c r="AJ34" s="2"/>
      <c r="AK34" s="2"/>
      <c r="AL34" s="2"/>
      <c r="AM34" s="2"/>
      <c r="AN34" s="2"/>
      <c r="AO34" s="2"/>
      <c r="AP34" s="2"/>
      <c r="AQ34" s="2"/>
      <c r="AR34" s="2"/>
      <c r="AS34" s="2"/>
      <c r="AT34" s="19" t="str">
        <f t="shared" si="3"/>
        <v/>
      </c>
      <c r="AU34" s="28">
        <f t="shared" si="4"/>
        <v>0</v>
      </c>
      <c r="AW34" s="19" t="str">
        <f>AT$13</f>
        <v/>
      </c>
      <c r="AX34" s="29">
        <f>AU$13</f>
        <v>0</v>
      </c>
      <c r="AY34" s="99" t="str">
        <f t="shared" si="2"/>
        <v/>
      </c>
      <c r="AZ34" s="2"/>
      <c r="BA34" s="2"/>
      <c r="BB34" s="2"/>
      <c r="BC34" s="2"/>
    </row>
    <row r="35" spans="1:55" s="1" customFormat="1" ht="20.25" customHeight="1" x14ac:dyDescent="0.25">
      <c r="A35" s="62"/>
      <c r="B35" s="91" t="str">
        <f t="shared" si="5"/>
        <v/>
      </c>
      <c r="C35" s="87"/>
      <c r="D35" s="88" t="str">
        <f t="shared" si="6"/>
        <v/>
      </c>
      <c r="E35" s="86" t="str">
        <f t="shared" si="7"/>
        <v/>
      </c>
      <c r="F35" s="87"/>
      <c r="G35" s="88" t="str">
        <f t="shared" si="8"/>
        <v/>
      </c>
      <c r="H35" s="91" t="str">
        <f t="shared" si="9"/>
        <v/>
      </c>
      <c r="I35" s="87"/>
      <c r="J35" s="88" t="str">
        <f t="shared" si="10"/>
        <v/>
      </c>
      <c r="K35" s="91" t="str">
        <f t="shared" si="11"/>
        <v/>
      </c>
      <c r="L35" s="87"/>
      <c r="M35" s="88" t="str">
        <f t="shared" si="12"/>
        <v/>
      </c>
      <c r="N35" s="76"/>
      <c r="O35" s="66"/>
      <c r="P35" s="62"/>
      <c r="Q35" s="59" t="s">
        <v>74</v>
      </c>
      <c r="R35" s="27" t="str">
        <f>$B$57</f>
        <v/>
      </c>
      <c r="S35" s="29">
        <f>$C$57</f>
        <v>0</v>
      </c>
      <c r="T35" s="27" t="str">
        <f>$R$207</f>
        <v/>
      </c>
      <c r="U35" s="27">
        <f>$S$207</f>
        <v>0</v>
      </c>
      <c r="V35" s="17">
        <f>$S$208</f>
        <v>0</v>
      </c>
      <c r="W35" s="29">
        <f>$S$209</f>
        <v>0</v>
      </c>
      <c r="X35" s="17"/>
      <c r="Z35" s="2"/>
      <c r="AA35" s="2"/>
      <c r="AB35" s="2"/>
      <c r="AC35" s="2"/>
      <c r="AD35" s="2"/>
      <c r="AE35" s="2"/>
      <c r="AF35" s="2"/>
      <c r="AG35" s="2"/>
      <c r="AH35" s="2"/>
      <c r="AI35" s="2"/>
      <c r="AJ35" s="2"/>
      <c r="AK35" s="2"/>
      <c r="AL35" s="2"/>
      <c r="AM35" s="2"/>
      <c r="AN35" s="2"/>
      <c r="AO35" s="2"/>
      <c r="AP35" s="2"/>
      <c r="AQ35" s="2"/>
      <c r="AR35" s="2"/>
      <c r="AS35" s="2"/>
      <c r="AT35" s="19" t="str">
        <f t="shared" si="3"/>
        <v/>
      </c>
      <c r="AU35" s="28">
        <f t="shared" si="4"/>
        <v>0</v>
      </c>
      <c r="AW35" s="19" t="str">
        <f>AT$33</f>
        <v/>
      </c>
      <c r="AX35" s="29">
        <f>AU$33</f>
        <v>0</v>
      </c>
      <c r="AY35" s="99" t="str">
        <f t="shared" si="2"/>
        <v/>
      </c>
      <c r="AZ35" s="2"/>
      <c r="BA35" s="2"/>
      <c r="BB35" s="2"/>
      <c r="BC35" s="2"/>
    </row>
    <row r="36" spans="1:55" s="1" customFormat="1" ht="20.25" customHeight="1" x14ac:dyDescent="0.25">
      <c r="A36" s="62"/>
      <c r="B36" s="91" t="str">
        <f t="shared" si="5"/>
        <v/>
      </c>
      <c r="C36" s="87"/>
      <c r="D36" s="88" t="str">
        <f t="shared" si="6"/>
        <v/>
      </c>
      <c r="E36" s="86" t="str">
        <f t="shared" si="7"/>
        <v/>
      </c>
      <c r="F36" s="87"/>
      <c r="G36" s="88" t="str">
        <f t="shared" si="8"/>
        <v/>
      </c>
      <c r="H36" s="91" t="str">
        <f t="shared" si="9"/>
        <v/>
      </c>
      <c r="I36" s="87"/>
      <c r="J36" s="88" t="str">
        <f t="shared" si="10"/>
        <v/>
      </c>
      <c r="K36" s="91" t="str">
        <f t="shared" si="11"/>
        <v/>
      </c>
      <c r="L36" s="87"/>
      <c r="M36" s="88" t="str">
        <f t="shared" si="12"/>
        <v/>
      </c>
      <c r="N36" s="76"/>
      <c r="O36" s="66"/>
      <c r="P36" s="62"/>
      <c r="Q36" s="59" t="s">
        <v>75</v>
      </c>
      <c r="R36" s="27" t="str">
        <f>$H$7</f>
        <v/>
      </c>
      <c r="S36" s="29">
        <f>$I$7</f>
        <v>0</v>
      </c>
      <c r="T36" s="27" t="str">
        <f>$R$222</f>
        <v/>
      </c>
      <c r="U36" s="27">
        <f>$S$222</f>
        <v>0</v>
      </c>
      <c r="V36" s="17">
        <f>$S$223</f>
        <v>0</v>
      </c>
      <c r="W36" s="29">
        <f>$S$224</f>
        <v>0</v>
      </c>
      <c r="X36" s="17"/>
      <c r="Z36" s="2"/>
      <c r="AA36" s="2"/>
      <c r="AB36" s="2"/>
      <c r="AC36" s="2"/>
      <c r="AD36" s="2"/>
      <c r="AE36" s="2"/>
      <c r="AF36" s="2"/>
      <c r="AG36" s="2"/>
      <c r="AH36" s="2"/>
      <c r="AI36" s="2"/>
      <c r="AJ36" s="2"/>
      <c r="AK36" s="2"/>
      <c r="AL36" s="2"/>
      <c r="AM36" s="2"/>
      <c r="AN36" s="2"/>
      <c r="AO36" s="2"/>
      <c r="AP36" s="2"/>
      <c r="AQ36" s="2"/>
      <c r="AR36" s="2"/>
      <c r="AS36" s="2"/>
      <c r="AT36" s="19" t="str">
        <f t="shared" si="3"/>
        <v/>
      </c>
      <c r="AU36" s="28">
        <f t="shared" si="4"/>
        <v>0</v>
      </c>
      <c r="AW36" s="19" t="str">
        <f>AT$53</f>
        <v/>
      </c>
      <c r="AX36" s="29">
        <f>AU$53</f>
        <v>0</v>
      </c>
      <c r="AY36" s="99" t="str">
        <f t="shared" si="2"/>
        <v/>
      </c>
      <c r="AZ36" s="2"/>
      <c r="BA36" s="2"/>
      <c r="BB36" s="2"/>
      <c r="BC36" s="2"/>
    </row>
    <row r="37" spans="1:55" s="1" customFormat="1" ht="20.25" customHeight="1" x14ac:dyDescent="0.25">
      <c r="A37" s="62"/>
      <c r="B37" s="91" t="str">
        <f t="shared" si="5"/>
        <v/>
      </c>
      <c r="C37" s="87"/>
      <c r="D37" s="88" t="str">
        <f t="shared" si="6"/>
        <v/>
      </c>
      <c r="E37" s="86" t="str">
        <f t="shared" si="7"/>
        <v/>
      </c>
      <c r="F37" s="87"/>
      <c r="G37" s="88" t="str">
        <f t="shared" si="8"/>
        <v/>
      </c>
      <c r="H37" s="91" t="str">
        <f t="shared" si="9"/>
        <v/>
      </c>
      <c r="I37" s="87"/>
      <c r="J37" s="88" t="str">
        <f t="shared" si="10"/>
        <v/>
      </c>
      <c r="K37" s="91" t="str">
        <f t="shared" si="11"/>
        <v/>
      </c>
      <c r="L37" s="87"/>
      <c r="M37" s="88" t="str">
        <f t="shared" si="12"/>
        <v/>
      </c>
      <c r="N37" s="76"/>
      <c r="O37" s="66"/>
      <c r="P37" s="62"/>
      <c r="Q37" s="59" t="s">
        <v>76</v>
      </c>
      <c r="R37" s="27" t="str">
        <f>$K$32</f>
        <v/>
      </c>
      <c r="S37" s="29">
        <f>$L$32</f>
        <v>0</v>
      </c>
      <c r="T37" s="27" t="str">
        <f>$R$195</f>
        <v/>
      </c>
      <c r="U37" s="27">
        <f>$S$195</f>
        <v>0</v>
      </c>
      <c r="V37" s="17">
        <f>$S$196</f>
        <v>0</v>
      </c>
      <c r="W37" s="29">
        <f>$S$197</f>
        <v>0</v>
      </c>
      <c r="X37" s="17"/>
      <c r="Z37" s="2"/>
      <c r="AA37" s="2"/>
      <c r="AB37" s="2"/>
      <c r="AC37" s="2"/>
      <c r="AD37" s="2"/>
      <c r="AE37" s="2"/>
      <c r="AF37" s="2"/>
      <c r="AG37" s="2"/>
      <c r="AH37" s="2"/>
      <c r="AI37" s="2"/>
      <c r="AJ37" s="2"/>
      <c r="AK37" s="2"/>
      <c r="AL37" s="2"/>
      <c r="AM37" s="2"/>
      <c r="AN37" s="2"/>
      <c r="AO37" s="2"/>
      <c r="AP37" s="2"/>
      <c r="AQ37" s="2"/>
      <c r="AR37" s="2"/>
      <c r="AS37" s="2"/>
      <c r="AT37" s="19" t="str">
        <f t="shared" si="3"/>
        <v/>
      </c>
      <c r="AU37" s="28">
        <f t="shared" si="4"/>
        <v>0</v>
      </c>
      <c r="AW37" s="19" t="str">
        <f>AT$73</f>
        <v/>
      </c>
      <c r="AX37" s="29">
        <f>AU$73</f>
        <v>0</v>
      </c>
      <c r="AY37" s="99" t="str">
        <f t="shared" si="2"/>
        <v/>
      </c>
      <c r="AZ37" s="2"/>
      <c r="BA37" s="2"/>
      <c r="BB37" s="2"/>
      <c r="BC37" s="2"/>
    </row>
    <row r="38" spans="1:55" s="1" customFormat="1" ht="20.25" customHeight="1" x14ac:dyDescent="0.25">
      <c r="A38" s="62"/>
      <c r="B38" s="91" t="str">
        <f t="shared" si="5"/>
        <v/>
      </c>
      <c r="C38" s="87"/>
      <c r="D38" s="88" t="str">
        <f t="shared" si="6"/>
        <v/>
      </c>
      <c r="E38" s="86" t="str">
        <f t="shared" si="7"/>
        <v/>
      </c>
      <c r="F38" s="87"/>
      <c r="G38" s="88" t="str">
        <f t="shared" si="8"/>
        <v/>
      </c>
      <c r="H38" s="91" t="str">
        <f t="shared" si="9"/>
        <v/>
      </c>
      <c r="I38" s="87"/>
      <c r="J38" s="88" t="str">
        <f t="shared" si="10"/>
        <v/>
      </c>
      <c r="K38" s="91" t="str">
        <f t="shared" si="11"/>
        <v/>
      </c>
      <c r="L38" s="87"/>
      <c r="M38" s="88" t="str">
        <f t="shared" si="12"/>
        <v/>
      </c>
      <c r="N38" s="76"/>
      <c r="O38" s="66"/>
      <c r="P38" s="62"/>
      <c r="Q38" s="59" t="s">
        <v>77</v>
      </c>
      <c r="R38" s="27" t="str">
        <f>$K$57</f>
        <v/>
      </c>
      <c r="S38" s="29">
        <f>$L$57</f>
        <v>0</v>
      </c>
      <c r="T38" s="27" t="str">
        <f>$R$228</f>
        <v/>
      </c>
      <c r="U38" s="27">
        <f>$S$228</f>
        <v>0</v>
      </c>
      <c r="V38" s="17">
        <f>$S$229</f>
        <v>0</v>
      </c>
      <c r="W38" s="29">
        <f>$S$230</f>
        <v>0</v>
      </c>
      <c r="X38" s="17"/>
      <c r="Z38" s="2"/>
      <c r="AA38" s="2"/>
      <c r="AB38" s="2"/>
      <c r="AC38" s="2"/>
      <c r="AD38" s="2"/>
      <c r="AE38" s="2"/>
      <c r="AF38" s="2"/>
      <c r="AG38" s="2"/>
      <c r="AH38" s="2"/>
      <c r="AI38" s="2"/>
      <c r="AJ38" s="2"/>
      <c r="AK38" s="2"/>
      <c r="AL38" s="2"/>
      <c r="AM38" s="2"/>
      <c r="AN38" s="2"/>
      <c r="AO38" s="2"/>
      <c r="AP38" s="2"/>
      <c r="AQ38" s="2"/>
      <c r="AR38" s="2"/>
      <c r="AS38" s="2"/>
      <c r="AT38" s="19" t="str">
        <f t="shared" si="3"/>
        <v/>
      </c>
      <c r="AU38" s="28">
        <f t="shared" si="4"/>
        <v>0</v>
      </c>
      <c r="AW38" s="19" t="str">
        <f>AT$14</f>
        <v/>
      </c>
      <c r="AX38" s="29">
        <f>AU$14</f>
        <v>0</v>
      </c>
      <c r="AY38" s="99" t="str">
        <f t="shared" si="2"/>
        <v/>
      </c>
      <c r="AZ38" s="2"/>
      <c r="BA38" s="2"/>
      <c r="BB38" s="2"/>
      <c r="BC38" s="2"/>
    </row>
    <row r="39" spans="1:55" s="1" customFormat="1" ht="20.25" customHeight="1" x14ac:dyDescent="0.25">
      <c r="A39" s="62"/>
      <c r="B39" s="91" t="str">
        <f t="shared" si="5"/>
        <v/>
      </c>
      <c r="C39" s="87"/>
      <c r="D39" s="88" t="str">
        <f t="shared" si="6"/>
        <v/>
      </c>
      <c r="E39" s="86" t="str">
        <f t="shared" si="7"/>
        <v/>
      </c>
      <c r="F39" s="87"/>
      <c r="G39" s="88" t="str">
        <f t="shared" si="8"/>
        <v/>
      </c>
      <c r="H39" s="91" t="str">
        <f t="shared" si="9"/>
        <v/>
      </c>
      <c r="I39" s="87"/>
      <c r="J39" s="88" t="str">
        <f t="shared" si="10"/>
        <v/>
      </c>
      <c r="K39" s="91" t="str">
        <f t="shared" si="11"/>
        <v/>
      </c>
      <c r="L39" s="87"/>
      <c r="M39" s="88" t="str">
        <f t="shared" si="12"/>
        <v/>
      </c>
      <c r="N39" s="76"/>
      <c r="O39" s="66"/>
      <c r="P39" s="62"/>
      <c r="Q39" s="59" t="s">
        <v>78</v>
      </c>
      <c r="R39" s="27" t="str">
        <f>$K$7</f>
        <v/>
      </c>
      <c r="S39" s="29">
        <f>$L$7</f>
        <v>0</v>
      </c>
      <c r="T39" s="27" t="str">
        <f>$R$225</f>
        <v/>
      </c>
      <c r="U39" s="27">
        <f>$S$225</f>
        <v>0</v>
      </c>
      <c r="V39" s="17">
        <f>$S$226</f>
        <v>0</v>
      </c>
      <c r="W39" s="29">
        <f>$S$227</f>
        <v>0</v>
      </c>
      <c r="X39" s="17"/>
      <c r="Z39" s="2"/>
      <c r="AA39" s="2"/>
      <c r="AB39" s="2"/>
      <c r="AC39" s="2"/>
      <c r="AD39" s="2"/>
      <c r="AE39" s="2"/>
      <c r="AF39" s="2"/>
      <c r="AG39" s="2"/>
      <c r="AH39" s="2"/>
      <c r="AI39" s="2"/>
      <c r="AJ39" s="2"/>
      <c r="AK39" s="2"/>
      <c r="AL39" s="2"/>
      <c r="AM39" s="2"/>
      <c r="AN39" s="2"/>
      <c r="AO39" s="2"/>
      <c r="AP39" s="2"/>
      <c r="AQ39" s="2"/>
      <c r="AR39" s="2"/>
      <c r="AS39" s="2"/>
      <c r="AT39" s="19" t="str">
        <f t="shared" si="3"/>
        <v/>
      </c>
      <c r="AU39" s="28">
        <f t="shared" si="4"/>
        <v>0</v>
      </c>
      <c r="AW39" s="19" t="str">
        <f>AT$34</f>
        <v/>
      </c>
      <c r="AX39" s="29">
        <f>AU$34</f>
        <v>0</v>
      </c>
      <c r="AY39" s="99" t="str">
        <f t="shared" si="2"/>
        <v/>
      </c>
      <c r="AZ39" s="2"/>
      <c r="BA39" s="2"/>
      <c r="BB39" s="2"/>
      <c r="BC39" s="2"/>
    </row>
    <row r="40" spans="1:55" s="1" customFormat="1" ht="20.25" customHeight="1" x14ac:dyDescent="0.25">
      <c r="A40" s="62"/>
      <c r="B40" s="91" t="str">
        <f t="shared" si="5"/>
        <v/>
      </c>
      <c r="C40" s="87"/>
      <c r="D40" s="88" t="str">
        <f t="shared" si="6"/>
        <v/>
      </c>
      <c r="E40" s="86" t="str">
        <f t="shared" si="7"/>
        <v/>
      </c>
      <c r="F40" s="87"/>
      <c r="G40" s="88" t="str">
        <f t="shared" si="8"/>
        <v/>
      </c>
      <c r="H40" s="91" t="str">
        <f t="shared" si="9"/>
        <v/>
      </c>
      <c r="I40" s="87"/>
      <c r="J40" s="88" t="str">
        <f t="shared" si="10"/>
        <v/>
      </c>
      <c r="K40" s="91" t="str">
        <f t="shared" si="11"/>
        <v/>
      </c>
      <c r="L40" s="87"/>
      <c r="M40" s="88" t="str">
        <f t="shared" si="12"/>
        <v/>
      </c>
      <c r="N40" s="76"/>
      <c r="O40" s="66"/>
      <c r="P40" s="62"/>
      <c r="Q40" s="59" t="s">
        <v>79</v>
      </c>
      <c r="R40" s="27" t="str">
        <f>$E$57</f>
        <v/>
      </c>
      <c r="S40" s="29">
        <f>$F$57</f>
        <v>0</v>
      </c>
      <c r="T40" s="27" t="str">
        <f>$R$231</f>
        <v/>
      </c>
      <c r="U40" s="27">
        <f>$S$231</f>
        <v>0</v>
      </c>
      <c r="V40" s="17">
        <f>$S$232</f>
        <v>0</v>
      </c>
      <c r="W40" s="29">
        <f>$S$233</f>
        <v>0</v>
      </c>
      <c r="X40" s="17"/>
      <c r="Z40" s="2"/>
      <c r="AA40" s="2"/>
      <c r="AB40" s="2"/>
      <c r="AC40" s="2"/>
      <c r="AD40" s="2"/>
      <c r="AE40" s="2"/>
      <c r="AF40" s="2"/>
      <c r="AG40" s="2"/>
      <c r="AH40" s="2"/>
      <c r="AI40" s="2"/>
      <c r="AJ40" s="2"/>
      <c r="AK40" s="2"/>
      <c r="AL40" s="2"/>
      <c r="AM40" s="2"/>
      <c r="AN40" s="2"/>
      <c r="AO40" s="2"/>
      <c r="AP40" s="2"/>
      <c r="AQ40" s="2"/>
      <c r="AR40" s="2"/>
      <c r="AS40" s="2"/>
      <c r="AT40" s="19" t="str">
        <f t="shared" si="3"/>
        <v/>
      </c>
      <c r="AU40" s="28">
        <f t="shared" si="4"/>
        <v>0</v>
      </c>
      <c r="AW40" s="19" t="str">
        <f>AT$54</f>
        <v/>
      </c>
      <c r="AX40" s="29">
        <f>AU$54</f>
        <v>0</v>
      </c>
      <c r="AY40" s="99" t="str">
        <f t="shared" si="2"/>
        <v/>
      </c>
      <c r="AZ40" s="2"/>
      <c r="BA40" s="2"/>
      <c r="BB40" s="2"/>
      <c r="BC40" s="2"/>
    </row>
    <row r="41" spans="1:55" s="1" customFormat="1" ht="20.25" customHeight="1" x14ac:dyDescent="0.25">
      <c r="A41" s="62"/>
      <c r="B41" s="91" t="str">
        <f t="shared" si="5"/>
        <v/>
      </c>
      <c r="C41" s="87"/>
      <c r="D41" s="88" t="str">
        <f t="shared" si="6"/>
        <v/>
      </c>
      <c r="E41" s="86" t="str">
        <f t="shared" si="7"/>
        <v/>
      </c>
      <c r="F41" s="87"/>
      <c r="G41" s="88" t="str">
        <f t="shared" si="8"/>
        <v/>
      </c>
      <c r="H41" s="91" t="str">
        <f t="shared" si="9"/>
        <v/>
      </c>
      <c r="I41" s="87"/>
      <c r="J41" s="88" t="str">
        <f t="shared" si="10"/>
        <v/>
      </c>
      <c r="K41" s="91" t="str">
        <f t="shared" si="11"/>
        <v/>
      </c>
      <c r="L41" s="87"/>
      <c r="M41" s="88" t="str">
        <f t="shared" si="12"/>
        <v/>
      </c>
      <c r="N41" s="76"/>
      <c r="O41" s="66"/>
      <c r="P41" s="62"/>
      <c r="Q41" s="59" t="s">
        <v>80</v>
      </c>
      <c r="R41" s="27" t="str">
        <f>$B$32</f>
        <v/>
      </c>
      <c r="S41" s="29">
        <f>$C$32</f>
        <v>0</v>
      </c>
      <c r="T41" s="27" t="str">
        <f>$R$186</f>
        <v/>
      </c>
      <c r="U41" s="27">
        <f>$S$186</f>
        <v>0</v>
      </c>
      <c r="V41" s="17">
        <f>$S$187</f>
        <v>0</v>
      </c>
      <c r="W41" s="29">
        <f>$S$188</f>
        <v>0</v>
      </c>
      <c r="X41" s="17"/>
      <c r="Z41" s="2"/>
      <c r="AA41" s="2"/>
      <c r="AB41" s="2"/>
      <c r="AC41" s="2"/>
      <c r="AD41" s="2"/>
      <c r="AE41" s="2"/>
      <c r="AF41" s="2"/>
      <c r="AG41" s="2"/>
      <c r="AH41" s="2"/>
      <c r="AI41" s="2"/>
      <c r="AJ41" s="2"/>
      <c r="AK41" s="2"/>
      <c r="AL41" s="2"/>
      <c r="AM41" s="2"/>
      <c r="AN41" s="2"/>
      <c r="AO41" s="2"/>
      <c r="AP41" s="2"/>
      <c r="AQ41" s="2"/>
      <c r="AR41" s="2"/>
      <c r="AS41" s="2"/>
      <c r="AT41" s="19" t="str">
        <f t="shared" si="3"/>
        <v/>
      </c>
      <c r="AU41" s="28">
        <f t="shared" si="4"/>
        <v>0</v>
      </c>
      <c r="AW41" s="19" t="str">
        <f>AT$74</f>
        <v/>
      </c>
      <c r="AX41" s="29">
        <f>AU$74</f>
        <v>0</v>
      </c>
      <c r="AY41" s="99" t="str">
        <f t="shared" si="2"/>
        <v/>
      </c>
      <c r="AZ41" s="2"/>
      <c r="BA41" s="2"/>
      <c r="BB41" s="2"/>
      <c r="BC41" s="2"/>
    </row>
    <row r="42" spans="1:55" s="1" customFormat="1" ht="20.25" customHeight="1" x14ac:dyDescent="0.25">
      <c r="A42" s="62"/>
      <c r="B42" s="91" t="str">
        <f t="shared" si="5"/>
        <v/>
      </c>
      <c r="C42" s="87"/>
      <c r="D42" s="88" t="str">
        <f t="shared" si="6"/>
        <v/>
      </c>
      <c r="E42" s="86" t="str">
        <f t="shared" si="7"/>
        <v/>
      </c>
      <c r="F42" s="87"/>
      <c r="G42" s="88" t="str">
        <f t="shared" si="8"/>
        <v/>
      </c>
      <c r="H42" s="91" t="str">
        <f t="shared" si="9"/>
        <v/>
      </c>
      <c r="I42" s="87"/>
      <c r="J42" s="88" t="str">
        <f t="shared" si="10"/>
        <v/>
      </c>
      <c r="K42" s="91" t="str">
        <f t="shared" si="11"/>
        <v/>
      </c>
      <c r="L42" s="87"/>
      <c r="M42" s="88" t="str">
        <f t="shared" si="12"/>
        <v/>
      </c>
      <c r="N42" s="76"/>
      <c r="O42" s="66"/>
      <c r="P42" s="62"/>
      <c r="Q42" s="59" t="s">
        <v>81</v>
      </c>
      <c r="R42" s="27" t="str">
        <f>$E$37</f>
        <v/>
      </c>
      <c r="S42" s="29">
        <f>$F$37</f>
        <v>0</v>
      </c>
      <c r="T42" s="27" t="str">
        <f>$R$216</f>
        <v/>
      </c>
      <c r="U42" s="27">
        <f>$S$216</f>
        <v>0</v>
      </c>
      <c r="V42" s="17">
        <f>$S$217</f>
        <v>0</v>
      </c>
      <c r="W42" s="29">
        <f>$S$218</f>
        <v>0</v>
      </c>
      <c r="X42" s="17"/>
      <c r="Z42" s="2"/>
      <c r="AA42" s="2"/>
      <c r="AB42" s="2"/>
      <c r="AC42" s="2"/>
      <c r="AD42" s="2"/>
      <c r="AE42" s="2"/>
      <c r="AF42" s="2"/>
      <c r="AG42" s="2"/>
      <c r="AH42" s="2"/>
      <c r="AI42" s="2"/>
      <c r="AJ42" s="2"/>
      <c r="AK42" s="2"/>
      <c r="AL42" s="2"/>
      <c r="AM42" s="2"/>
      <c r="AN42" s="2"/>
      <c r="AO42" s="2"/>
      <c r="AP42" s="2"/>
      <c r="AQ42" s="2"/>
      <c r="AR42" s="2"/>
      <c r="AS42" s="2"/>
      <c r="AT42" s="19" t="str">
        <f t="shared" si="3"/>
        <v/>
      </c>
      <c r="AU42" s="28">
        <f t="shared" si="4"/>
        <v>0</v>
      </c>
      <c r="AW42" s="19" t="str">
        <f>AT$15</f>
        <v/>
      </c>
      <c r="AX42" s="29">
        <f>AU$15</f>
        <v>0</v>
      </c>
      <c r="AY42" s="99" t="str">
        <f t="shared" si="2"/>
        <v/>
      </c>
      <c r="AZ42" s="2"/>
      <c r="BA42" s="2"/>
      <c r="BB42" s="2"/>
      <c r="BC42" s="2"/>
    </row>
    <row r="43" spans="1:55" s="1" customFormat="1" ht="20.25" customHeight="1" x14ac:dyDescent="0.25">
      <c r="A43" s="62"/>
      <c r="B43" s="91" t="str">
        <f t="shared" si="5"/>
        <v/>
      </c>
      <c r="C43" s="87"/>
      <c r="D43" s="88" t="str">
        <f t="shared" si="6"/>
        <v/>
      </c>
      <c r="E43" s="86" t="str">
        <f t="shared" si="7"/>
        <v/>
      </c>
      <c r="F43" s="87"/>
      <c r="G43" s="88" t="str">
        <f t="shared" si="8"/>
        <v/>
      </c>
      <c r="H43" s="91" t="str">
        <f t="shared" si="9"/>
        <v/>
      </c>
      <c r="I43" s="87"/>
      <c r="J43" s="88" t="str">
        <f t="shared" si="10"/>
        <v/>
      </c>
      <c r="K43" s="91" t="str">
        <f t="shared" si="11"/>
        <v/>
      </c>
      <c r="L43" s="87"/>
      <c r="M43" s="88" t="str">
        <f t="shared" si="12"/>
        <v/>
      </c>
      <c r="N43" s="76"/>
      <c r="O43" s="66"/>
      <c r="P43" s="62"/>
      <c r="Q43" s="59" t="s">
        <v>82</v>
      </c>
      <c r="R43" s="27" t="str">
        <f>$B$12</f>
        <v/>
      </c>
      <c r="S43" s="29">
        <f>$C$12</f>
        <v>0</v>
      </c>
      <c r="T43" s="27" t="str">
        <f>$R$171</f>
        <v/>
      </c>
      <c r="U43" s="27">
        <f>$S$171</f>
        <v>0</v>
      </c>
      <c r="V43" s="17">
        <f>$S$172</f>
        <v>0</v>
      </c>
      <c r="W43" s="29">
        <f>$S$173</f>
        <v>0</v>
      </c>
      <c r="X43" s="17"/>
      <c r="Z43" s="2"/>
      <c r="AA43" s="2"/>
      <c r="AB43" s="2"/>
      <c r="AC43" s="2"/>
      <c r="AD43" s="2"/>
      <c r="AE43" s="2"/>
      <c r="AF43" s="2"/>
      <c r="AG43" s="2"/>
      <c r="AH43" s="2"/>
      <c r="AI43" s="2"/>
      <c r="AJ43" s="2"/>
      <c r="AK43" s="2"/>
      <c r="AL43" s="2"/>
      <c r="AM43" s="2"/>
      <c r="AN43" s="2"/>
      <c r="AO43" s="2"/>
      <c r="AP43" s="2"/>
      <c r="AQ43" s="2"/>
      <c r="AR43" s="2"/>
      <c r="AS43" s="2"/>
      <c r="AT43" s="19" t="str">
        <f t="shared" si="3"/>
        <v/>
      </c>
      <c r="AU43" s="28">
        <f t="shared" si="4"/>
        <v>0</v>
      </c>
      <c r="AW43" s="19" t="str">
        <f>AT$35</f>
        <v/>
      </c>
      <c r="AX43" s="29">
        <f>AU$35</f>
        <v>0</v>
      </c>
      <c r="AY43" s="99" t="str">
        <f t="shared" si="2"/>
        <v/>
      </c>
      <c r="AZ43" s="2"/>
      <c r="BA43" s="2"/>
      <c r="BB43" s="2"/>
      <c r="BC43" s="2"/>
    </row>
    <row r="44" spans="1:55" s="1" customFormat="1" ht="20.25" customHeight="1" x14ac:dyDescent="0.25">
      <c r="A44" s="62"/>
      <c r="B44" s="91" t="str">
        <f t="shared" si="5"/>
        <v/>
      </c>
      <c r="C44" s="87"/>
      <c r="D44" s="88" t="str">
        <f t="shared" si="6"/>
        <v/>
      </c>
      <c r="E44" s="86" t="str">
        <f t="shared" si="7"/>
        <v/>
      </c>
      <c r="F44" s="87"/>
      <c r="G44" s="88" t="str">
        <f t="shared" si="8"/>
        <v/>
      </c>
      <c r="H44" s="91" t="str">
        <f t="shared" si="9"/>
        <v/>
      </c>
      <c r="I44" s="87"/>
      <c r="J44" s="88" t="str">
        <f t="shared" si="10"/>
        <v/>
      </c>
      <c r="K44" s="91" t="str">
        <f t="shared" si="11"/>
        <v/>
      </c>
      <c r="L44" s="87"/>
      <c r="M44" s="88" t="str">
        <f t="shared" si="12"/>
        <v/>
      </c>
      <c r="N44" s="76"/>
      <c r="O44" s="66"/>
      <c r="P44" s="62"/>
      <c r="Q44" s="59" t="s">
        <v>83</v>
      </c>
      <c r="R44" s="27" t="str">
        <f>$H$62</f>
        <v/>
      </c>
      <c r="S44" s="29">
        <f>$I$62</f>
        <v>0</v>
      </c>
      <c r="T44" s="27" t="str">
        <f>$R$234</f>
        <v/>
      </c>
      <c r="U44" s="27">
        <f>$S$234</f>
        <v>0</v>
      </c>
      <c r="V44" s="17">
        <f>$S$235</f>
        <v>0</v>
      </c>
      <c r="W44" s="29">
        <f>$S$236</f>
        <v>0</v>
      </c>
      <c r="X44" s="17"/>
      <c r="Z44" s="2"/>
      <c r="AA44" s="2"/>
      <c r="AB44" s="2"/>
      <c r="AC44" s="2"/>
      <c r="AD44" s="2"/>
      <c r="AE44" s="2"/>
      <c r="AF44" s="2"/>
      <c r="AG44" s="2"/>
      <c r="AH44" s="2"/>
      <c r="AI44" s="2"/>
      <c r="AJ44" s="2"/>
      <c r="AK44" s="2"/>
      <c r="AL44" s="2"/>
      <c r="AM44" s="2"/>
      <c r="AN44" s="2"/>
      <c r="AO44" s="2"/>
      <c r="AP44" s="2"/>
      <c r="AQ44" s="2"/>
      <c r="AR44" s="2"/>
      <c r="AS44" s="2"/>
      <c r="AT44" s="19" t="str">
        <f t="shared" si="3"/>
        <v/>
      </c>
      <c r="AU44" s="28">
        <f t="shared" si="4"/>
        <v>0</v>
      </c>
      <c r="AW44" s="19" t="str">
        <f>AT$55</f>
        <v/>
      </c>
      <c r="AX44" s="29">
        <f>AU$55</f>
        <v>0</v>
      </c>
      <c r="AY44" s="99" t="str">
        <f t="shared" si="2"/>
        <v/>
      </c>
      <c r="AZ44" s="2"/>
      <c r="BA44" s="2"/>
      <c r="BB44" s="2"/>
      <c r="BC44" s="2"/>
    </row>
    <row r="45" spans="1:55" s="1" customFormat="1" ht="20.25" customHeight="1" x14ac:dyDescent="0.25">
      <c r="A45" s="62"/>
      <c r="B45" s="91" t="str">
        <f t="shared" si="5"/>
        <v/>
      </c>
      <c r="C45" s="87"/>
      <c r="D45" s="88" t="str">
        <f t="shared" si="6"/>
        <v/>
      </c>
      <c r="E45" s="86" t="str">
        <f t="shared" si="7"/>
        <v/>
      </c>
      <c r="F45" s="87"/>
      <c r="G45" s="88" t="str">
        <f t="shared" si="8"/>
        <v/>
      </c>
      <c r="H45" s="91" t="str">
        <f t="shared" si="9"/>
        <v/>
      </c>
      <c r="I45" s="87"/>
      <c r="J45" s="88" t="str">
        <f t="shared" si="10"/>
        <v/>
      </c>
      <c r="K45" s="91" t="str">
        <f t="shared" si="11"/>
        <v/>
      </c>
      <c r="L45" s="87"/>
      <c r="M45" s="88" t="str">
        <f t="shared" si="12"/>
        <v/>
      </c>
      <c r="N45" s="76"/>
      <c r="O45" s="66"/>
      <c r="P45" s="62"/>
      <c r="Q45" s="59" t="s">
        <v>84</v>
      </c>
      <c r="R45" s="27" t="str">
        <f>$B$62</f>
        <v/>
      </c>
      <c r="S45" s="29">
        <f>$C$62</f>
        <v>0</v>
      </c>
      <c r="T45" s="27" t="str">
        <f>$R$165</f>
        <v/>
      </c>
      <c r="U45" s="27">
        <f>$S$165</f>
        <v>0</v>
      </c>
      <c r="V45" s="17">
        <f>$S$166</f>
        <v>0</v>
      </c>
      <c r="W45" s="29">
        <f>$S$167</f>
        <v>0</v>
      </c>
      <c r="X45" s="17"/>
      <c r="Z45" s="2"/>
      <c r="AA45" s="2"/>
      <c r="AB45" s="2"/>
      <c r="AC45" s="2"/>
      <c r="AD45" s="2"/>
      <c r="AE45" s="2"/>
      <c r="AF45" s="2"/>
      <c r="AG45" s="2"/>
      <c r="AH45" s="2"/>
      <c r="AI45" s="2"/>
      <c r="AJ45" s="2"/>
      <c r="AK45" s="2"/>
      <c r="AL45" s="2"/>
      <c r="AM45" s="2"/>
      <c r="AN45" s="2"/>
      <c r="AO45" s="2"/>
      <c r="AP45" s="2"/>
      <c r="AQ45" s="2"/>
      <c r="AR45" s="2"/>
      <c r="AS45" s="2"/>
      <c r="AT45" s="19" t="str">
        <f t="shared" si="3"/>
        <v/>
      </c>
      <c r="AU45" s="28">
        <f t="shared" si="4"/>
        <v>0</v>
      </c>
      <c r="AW45" s="19" t="str">
        <f>AT$75</f>
        <v/>
      </c>
      <c r="AX45" s="29">
        <f>AU$75</f>
        <v>0</v>
      </c>
      <c r="AY45" s="99" t="str">
        <f t="shared" si="2"/>
        <v/>
      </c>
      <c r="AZ45" s="2"/>
      <c r="BA45" s="2"/>
      <c r="BB45" s="2"/>
      <c r="BC45" s="2"/>
    </row>
    <row r="46" spans="1:55" s="1" customFormat="1" ht="20.25" customHeight="1" x14ac:dyDescent="0.25">
      <c r="A46" s="62"/>
      <c r="B46" s="91" t="str">
        <f t="shared" si="5"/>
        <v/>
      </c>
      <c r="C46" s="87"/>
      <c r="D46" s="88" t="str">
        <f t="shared" si="6"/>
        <v/>
      </c>
      <c r="E46" s="86" t="str">
        <f t="shared" si="7"/>
        <v/>
      </c>
      <c r="F46" s="87"/>
      <c r="G46" s="88" t="str">
        <f t="shared" si="8"/>
        <v/>
      </c>
      <c r="H46" s="91" t="str">
        <f t="shared" si="9"/>
        <v/>
      </c>
      <c r="I46" s="87"/>
      <c r="J46" s="88" t="str">
        <f t="shared" si="10"/>
        <v/>
      </c>
      <c r="K46" s="91" t="str">
        <f t="shared" si="11"/>
        <v/>
      </c>
      <c r="L46" s="87"/>
      <c r="M46" s="88" t="str">
        <f t="shared" si="12"/>
        <v/>
      </c>
      <c r="N46" s="76"/>
      <c r="O46" s="66"/>
      <c r="P46" s="62"/>
      <c r="Q46" s="59" t="s">
        <v>85</v>
      </c>
      <c r="R46" s="27" t="str">
        <f>$H$37</f>
        <v/>
      </c>
      <c r="S46" s="29">
        <f>$I$37</f>
        <v>0</v>
      </c>
      <c r="T46" s="27" t="str">
        <f>$R$42</f>
        <v/>
      </c>
      <c r="U46" s="27">
        <f>$S$42</f>
        <v>0</v>
      </c>
      <c r="V46" s="17">
        <f>$S$43</f>
        <v>0</v>
      </c>
      <c r="W46" s="29">
        <f>$S$44</f>
        <v>0</v>
      </c>
      <c r="X46" s="17"/>
      <c r="Z46" s="2"/>
      <c r="AA46" s="2"/>
      <c r="AD46" s="2"/>
      <c r="AE46" s="2"/>
      <c r="AF46" s="2"/>
      <c r="AG46" s="2"/>
      <c r="AH46" s="2"/>
      <c r="AJ46" s="26"/>
      <c r="AM46" s="26"/>
      <c r="AN46" s="26"/>
      <c r="AO46" s="26"/>
      <c r="AP46" s="26"/>
      <c r="AS46" s="2"/>
      <c r="AT46" s="19">
        <f t="shared" ref="AT46:AT65" si="13">H5</f>
        <v>3</v>
      </c>
      <c r="AU46" s="28">
        <f t="shared" ref="AU46:AU65" si="14">MAX(I5,L30,L55)</f>
        <v>0</v>
      </c>
      <c r="AW46" s="19" t="str">
        <f>AT$16</f>
        <v/>
      </c>
      <c r="AX46" s="29">
        <f>AU$16</f>
        <v>0</v>
      </c>
      <c r="AY46" s="99" t="str">
        <f t="shared" si="2"/>
        <v/>
      </c>
      <c r="AZ46" s="2"/>
      <c r="BA46" s="2"/>
      <c r="BB46" s="2"/>
      <c r="BC46" s="2"/>
    </row>
    <row r="47" spans="1:55" s="1" customFormat="1" ht="20.25" customHeight="1" x14ac:dyDescent="0.25">
      <c r="A47" s="62"/>
      <c r="B47" s="91" t="str">
        <f t="shared" si="5"/>
        <v/>
      </c>
      <c r="C47" s="87"/>
      <c r="D47" s="88" t="str">
        <f t="shared" si="6"/>
        <v/>
      </c>
      <c r="E47" s="86" t="str">
        <f t="shared" si="7"/>
        <v/>
      </c>
      <c r="F47" s="87"/>
      <c r="G47" s="88" t="str">
        <f t="shared" si="8"/>
        <v/>
      </c>
      <c r="H47" s="91" t="str">
        <f t="shared" si="9"/>
        <v/>
      </c>
      <c r="I47" s="87"/>
      <c r="J47" s="88" t="str">
        <f t="shared" si="10"/>
        <v/>
      </c>
      <c r="K47" s="91" t="str">
        <f t="shared" si="11"/>
        <v/>
      </c>
      <c r="L47" s="87"/>
      <c r="M47" s="88" t="str">
        <f t="shared" si="12"/>
        <v/>
      </c>
      <c r="N47" s="76"/>
      <c r="O47" s="66"/>
      <c r="P47" s="62"/>
      <c r="Q47" s="59" t="s">
        <v>86</v>
      </c>
      <c r="R47" s="27" t="str">
        <f>$E$12</f>
        <v/>
      </c>
      <c r="S47" s="29">
        <f>$F$12</f>
        <v>0</v>
      </c>
      <c r="T47" s="27" t="str">
        <f>$R$45</f>
        <v/>
      </c>
      <c r="U47" s="27">
        <f>$S$45</f>
        <v>0</v>
      </c>
      <c r="V47" s="17">
        <f>$S$46</f>
        <v>0</v>
      </c>
      <c r="W47" s="29">
        <f>$S$47</f>
        <v>0</v>
      </c>
      <c r="X47" s="17"/>
      <c r="Z47" s="2"/>
      <c r="AA47" s="2"/>
      <c r="AD47" s="2"/>
      <c r="AE47" s="2"/>
      <c r="AF47" s="2"/>
      <c r="AG47" s="2"/>
      <c r="AH47" s="2"/>
      <c r="AJ47" s="26"/>
      <c r="AM47" s="26"/>
      <c r="AN47" s="26"/>
      <c r="AO47" s="26"/>
      <c r="AP47" s="26"/>
      <c r="AS47" s="2"/>
      <c r="AT47" s="19" t="str">
        <f t="shared" si="13"/>
        <v/>
      </c>
      <c r="AU47" s="28">
        <f t="shared" si="14"/>
        <v>0</v>
      </c>
      <c r="AW47" s="19" t="str">
        <f>AT$36</f>
        <v/>
      </c>
      <c r="AX47" s="29">
        <f>AU$36</f>
        <v>0</v>
      </c>
      <c r="AY47" s="99" t="str">
        <f t="shared" si="2"/>
        <v/>
      </c>
      <c r="AZ47" s="2"/>
      <c r="BA47" s="2"/>
      <c r="BB47" s="2"/>
      <c r="BC47" s="2"/>
    </row>
    <row r="48" spans="1:55" s="1" customFormat="1" ht="20.25" customHeight="1" x14ac:dyDescent="0.25">
      <c r="A48" s="62"/>
      <c r="B48" s="91" t="str">
        <f t="shared" si="5"/>
        <v/>
      </c>
      <c r="C48" s="87"/>
      <c r="D48" s="88" t="str">
        <f t="shared" si="6"/>
        <v/>
      </c>
      <c r="E48" s="86" t="str">
        <f t="shared" si="7"/>
        <v/>
      </c>
      <c r="F48" s="87"/>
      <c r="G48" s="88" t="str">
        <f t="shared" si="8"/>
        <v/>
      </c>
      <c r="H48" s="91" t="str">
        <f t="shared" si="9"/>
        <v/>
      </c>
      <c r="I48" s="87"/>
      <c r="J48" s="88" t="str">
        <f t="shared" si="10"/>
        <v/>
      </c>
      <c r="K48" s="91" t="str">
        <f t="shared" si="11"/>
        <v/>
      </c>
      <c r="L48" s="87"/>
      <c r="M48" s="88" t="str">
        <f t="shared" si="12"/>
        <v/>
      </c>
      <c r="N48" s="76"/>
      <c r="O48" s="66"/>
      <c r="P48" s="66"/>
      <c r="Q48" s="59" t="s">
        <v>87</v>
      </c>
      <c r="R48" s="27" t="str">
        <f>$K$62</f>
        <v/>
      </c>
      <c r="S48" s="29">
        <f>$L$62</f>
        <v>0</v>
      </c>
      <c r="T48" s="27" t="str">
        <f>$R$60</f>
        <v/>
      </c>
      <c r="U48" s="27">
        <f>$S$60</f>
        <v>0</v>
      </c>
      <c r="V48" s="17">
        <f>$S$61</f>
        <v>0</v>
      </c>
      <c r="W48" s="29">
        <f>$S$62</f>
        <v>0</v>
      </c>
      <c r="X48" s="17"/>
      <c r="Z48" s="2"/>
      <c r="AA48" s="2"/>
      <c r="AD48" s="2"/>
      <c r="AE48" s="2"/>
      <c r="AF48" s="2"/>
      <c r="AG48" s="2"/>
      <c r="AH48" s="2"/>
      <c r="AJ48" s="26"/>
      <c r="AM48" s="26"/>
      <c r="AN48" s="26"/>
      <c r="AO48" s="26"/>
      <c r="AP48" s="26"/>
      <c r="AS48" s="2"/>
      <c r="AT48" s="19" t="str">
        <f t="shared" si="13"/>
        <v/>
      </c>
      <c r="AU48" s="28">
        <f t="shared" si="14"/>
        <v>0</v>
      </c>
      <c r="AW48" s="19" t="str">
        <f>AT$56</f>
        <v/>
      </c>
      <c r="AX48" s="29">
        <f>AU$56</f>
        <v>0</v>
      </c>
      <c r="AY48" s="99" t="str">
        <f t="shared" si="2"/>
        <v/>
      </c>
      <c r="AZ48" s="2"/>
      <c r="BA48" s="2"/>
      <c r="BB48" s="2"/>
      <c r="BC48" s="2"/>
    </row>
    <row r="49" spans="1:55" s="1" customFormat="1" ht="20.25" customHeight="1" x14ac:dyDescent="0.25">
      <c r="A49" s="62"/>
      <c r="B49" s="92" t="str">
        <f t="shared" si="5"/>
        <v/>
      </c>
      <c r="C49" s="87"/>
      <c r="D49" s="90" t="str">
        <f t="shared" si="6"/>
        <v/>
      </c>
      <c r="E49" s="89" t="str">
        <f t="shared" si="7"/>
        <v/>
      </c>
      <c r="F49" s="87"/>
      <c r="G49" s="90" t="str">
        <f t="shared" si="8"/>
        <v/>
      </c>
      <c r="H49" s="92" t="str">
        <f t="shared" si="9"/>
        <v/>
      </c>
      <c r="I49" s="87"/>
      <c r="J49" s="90" t="str">
        <f t="shared" si="10"/>
        <v/>
      </c>
      <c r="K49" s="92" t="str">
        <f t="shared" si="11"/>
        <v/>
      </c>
      <c r="L49" s="87"/>
      <c r="M49" s="90" t="str">
        <f t="shared" si="12"/>
        <v/>
      </c>
      <c r="N49" s="76" t="s">
        <v>6</v>
      </c>
      <c r="O49" s="66"/>
      <c r="P49" s="66"/>
      <c r="Q49" s="59" t="s">
        <v>88</v>
      </c>
      <c r="R49" s="27" t="str">
        <f>$K$37</f>
        <v/>
      </c>
      <c r="S49" s="29">
        <f>$L$37</f>
        <v>0</v>
      </c>
      <c r="T49" s="27" t="str">
        <f>$R$51</f>
        <v/>
      </c>
      <c r="U49" s="27">
        <f>$S$51</f>
        <v>0</v>
      </c>
      <c r="V49" s="17">
        <f>$S$52</f>
        <v>0</v>
      </c>
      <c r="W49" s="29">
        <f>$S$53</f>
        <v>0</v>
      </c>
      <c r="X49" s="17"/>
      <c r="Z49" s="2"/>
      <c r="AA49" s="2"/>
      <c r="AD49" s="2"/>
      <c r="AE49" s="2"/>
      <c r="AF49" s="2"/>
      <c r="AG49" s="2"/>
      <c r="AH49" s="2"/>
      <c r="AJ49" s="26"/>
      <c r="AM49" s="26"/>
      <c r="AN49" s="26"/>
      <c r="AO49" s="26"/>
      <c r="AP49" s="26"/>
      <c r="AS49" s="2"/>
      <c r="AT49" s="19" t="str">
        <f t="shared" si="13"/>
        <v/>
      </c>
      <c r="AU49" s="28">
        <f t="shared" si="14"/>
        <v>0</v>
      </c>
      <c r="AW49" s="19" t="str">
        <f>AT$76</f>
        <v/>
      </c>
      <c r="AX49" s="29">
        <f>AU$76</f>
        <v>0</v>
      </c>
      <c r="AY49" s="99" t="str">
        <f t="shared" si="2"/>
        <v/>
      </c>
      <c r="AZ49" s="2"/>
      <c r="BA49" s="2"/>
      <c r="BB49" s="2"/>
      <c r="BC49" s="2"/>
    </row>
    <row r="50" spans="1:55" s="1" customFormat="1" ht="20.25" customHeight="1" thickBot="1" x14ac:dyDescent="0.3">
      <c r="A50" s="62"/>
      <c r="B50" s="66"/>
      <c r="C50" s="66"/>
      <c r="D50" s="66"/>
      <c r="E50" s="66"/>
      <c r="F50" s="66"/>
      <c r="G50" s="66"/>
      <c r="H50" s="66"/>
      <c r="I50" s="66"/>
      <c r="J50" s="66"/>
      <c r="K50" s="66"/>
      <c r="L50" s="66"/>
      <c r="M50" s="66"/>
      <c r="N50" s="66"/>
      <c r="O50" s="66"/>
      <c r="P50" s="62"/>
      <c r="Q50" s="59" t="s">
        <v>89</v>
      </c>
      <c r="R50" s="27" t="str">
        <f>$H$12</f>
        <v/>
      </c>
      <c r="S50" s="29">
        <f>$I$12</f>
        <v>0</v>
      </c>
      <c r="T50" s="27" t="str">
        <f>$R$48</f>
        <v/>
      </c>
      <c r="U50" s="27">
        <f>$S$48</f>
        <v>0</v>
      </c>
      <c r="V50" s="17">
        <f>$S$49</f>
        <v>0</v>
      </c>
      <c r="W50" s="29">
        <f>$S$50</f>
        <v>0</v>
      </c>
      <c r="X50" s="17"/>
      <c r="Z50" s="2"/>
      <c r="AA50" s="2"/>
      <c r="AD50" s="2"/>
      <c r="AE50" s="2"/>
      <c r="AF50" s="2"/>
      <c r="AG50" s="2"/>
      <c r="AH50" s="2"/>
      <c r="AJ50" s="26"/>
      <c r="AM50" s="26"/>
      <c r="AN50" s="26"/>
      <c r="AO50" s="26"/>
      <c r="AP50" s="26"/>
      <c r="AS50" s="2"/>
      <c r="AT50" s="19" t="str">
        <f t="shared" si="13"/>
        <v/>
      </c>
      <c r="AU50" s="28">
        <f t="shared" si="14"/>
        <v>0</v>
      </c>
      <c r="AW50" s="19" t="str">
        <f>AT$17</f>
        <v/>
      </c>
      <c r="AX50" s="29">
        <f>AU$17</f>
        <v>0</v>
      </c>
      <c r="AY50" s="99" t="str">
        <f t="shared" si="2"/>
        <v/>
      </c>
      <c r="AZ50" s="2"/>
      <c r="BA50" s="2"/>
      <c r="BB50" s="2"/>
      <c r="BC50" s="2"/>
    </row>
    <row r="51" spans="1:55" s="1" customFormat="1" ht="20.25" customHeight="1" thickTop="1" thickBot="1" x14ac:dyDescent="0.3">
      <c r="A51" s="62"/>
      <c r="B51" s="70"/>
      <c r="C51" s="71"/>
      <c r="D51" s="71"/>
      <c r="E51" s="71"/>
      <c r="F51" s="71"/>
      <c r="G51" s="71"/>
      <c r="H51" s="71"/>
      <c r="I51" s="71"/>
      <c r="J51" s="71"/>
      <c r="K51" s="71"/>
      <c r="L51" s="71"/>
      <c r="M51" s="71"/>
      <c r="N51" s="76"/>
      <c r="O51" s="66"/>
      <c r="P51" s="62"/>
      <c r="Q51" s="59" t="s">
        <v>90</v>
      </c>
      <c r="R51" s="27" t="str">
        <f>$E$62</f>
        <v/>
      </c>
      <c r="S51" s="29">
        <f>$F$62</f>
        <v>0</v>
      </c>
      <c r="T51" s="27" t="str">
        <f>$R$57</f>
        <v/>
      </c>
      <c r="U51" s="27">
        <f>$S$57</f>
        <v>0</v>
      </c>
      <c r="V51" s="17">
        <f>$S$58</f>
        <v>0</v>
      </c>
      <c r="W51" s="29">
        <f>$S$59</f>
        <v>0</v>
      </c>
      <c r="X51" s="17"/>
      <c r="Z51" s="2"/>
      <c r="AA51" s="2"/>
      <c r="AD51" s="2"/>
      <c r="AE51" s="2"/>
      <c r="AF51" s="2"/>
      <c r="AG51" s="2"/>
      <c r="AH51" s="2"/>
      <c r="AJ51" s="26"/>
      <c r="AM51" s="26"/>
      <c r="AN51" s="26"/>
      <c r="AO51" s="26"/>
      <c r="AP51" s="26"/>
      <c r="AS51" s="2"/>
      <c r="AT51" s="19" t="str">
        <f t="shared" si="13"/>
        <v/>
      </c>
      <c r="AU51" s="28">
        <f t="shared" si="14"/>
        <v>0</v>
      </c>
      <c r="AW51" s="19" t="str">
        <f>AT$37</f>
        <v/>
      </c>
      <c r="AX51" s="29">
        <f>AU$37</f>
        <v>0</v>
      </c>
      <c r="AY51" s="99" t="str">
        <f t="shared" si="2"/>
        <v/>
      </c>
      <c r="AZ51" s="2"/>
      <c r="BA51" s="2"/>
      <c r="BB51" s="2"/>
      <c r="BC51" s="2"/>
    </row>
    <row r="52" spans="1:55" s="1" customFormat="1" ht="20.25" customHeight="1" thickBot="1" x14ac:dyDescent="0.3">
      <c r="A52" s="62"/>
      <c r="B52" s="172" t="s">
        <v>58</v>
      </c>
      <c r="C52" s="173"/>
      <c r="D52" s="173"/>
      <c r="E52" s="173"/>
      <c r="F52" s="173"/>
      <c r="G52" s="173"/>
      <c r="H52" s="173"/>
      <c r="I52" s="173"/>
      <c r="J52" s="173"/>
      <c r="K52" s="173"/>
      <c r="L52" s="173"/>
      <c r="M52" s="174"/>
      <c r="N52" s="76"/>
      <c r="O52" s="66"/>
      <c r="P52" s="62"/>
      <c r="Q52" s="59" t="s">
        <v>91</v>
      </c>
      <c r="R52" s="27" t="str">
        <f>$K$12</f>
        <v/>
      </c>
      <c r="S52" s="29">
        <f>$L$12</f>
        <v>0</v>
      </c>
      <c r="T52" s="27" t="str">
        <f>$R$54</f>
        <v/>
      </c>
      <c r="U52" s="27">
        <f>$S$54</f>
        <v>0</v>
      </c>
      <c r="V52" s="17">
        <f>$S$55</f>
        <v>0</v>
      </c>
      <c r="W52" s="29">
        <f>$S$56</f>
        <v>0</v>
      </c>
      <c r="X52" s="17"/>
      <c r="Z52" s="2"/>
      <c r="AA52" s="2"/>
      <c r="AD52" s="2"/>
      <c r="AE52" s="2"/>
      <c r="AF52" s="2"/>
      <c r="AG52" s="2"/>
      <c r="AH52" s="2"/>
      <c r="AJ52" s="26"/>
      <c r="AM52" s="26"/>
      <c r="AN52" s="26"/>
      <c r="AO52" s="26"/>
      <c r="AP52" s="26"/>
      <c r="AS52" s="2"/>
      <c r="AT52" s="19" t="str">
        <f t="shared" si="13"/>
        <v/>
      </c>
      <c r="AU52" s="28">
        <f t="shared" si="14"/>
        <v>0</v>
      </c>
      <c r="AW52" s="19" t="str">
        <f>AT$57</f>
        <v/>
      </c>
      <c r="AX52" s="29">
        <f>AU$57</f>
        <v>0</v>
      </c>
      <c r="AY52" s="99" t="str">
        <f t="shared" si="2"/>
        <v/>
      </c>
      <c r="AZ52" s="2"/>
      <c r="BA52" s="2"/>
      <c r="BB52" s="2"/>
      <c r="BC52" s="2"/>
    </row>
    <row r="53" spans="1:55" s="1" customFormat="1" ht="20.25" customHeight="1" thickBot="1" x14ac:dyDescent="0.3">
      <c r="A53" s="62"/>
      <c r="B53" s="175" t="s">
        <v>51</v>
      </c>
      <c r="C53" s="176"/>
      <c r="D53" s="177"/>
      <c r="E53" s="175" t="s">
        <v>52</v>
      </c>
      <c r="F53" s="176"/>
      <c r="G53" s="177"/>
      <c r="H53" s="175" t="s">
        <v>53</v>
      </c>
      <c r="I53" s="176"/>
      <c r="J53" s="177"/>
      <c r="K53" s="175" t="s">
        <v>54</v>
      </c>
      <c r="L53" s="176"/>
      <c r="M53" s="177"/>
      <c r="N53" s="76"/>
      <c r="O53" s="66"/>
      <c r="P53" s="62"/>
      <c r="Q53" s="59" t="s">
        <v>92</v>
      </c>
      <c r="R53" s="27" t="str">
        <f>$B$37</f>
        <v/>
      </c>
      <c r="S53" s="29">
        <f>$C$37</f>
        <v>0</v>
      </c>
      <c r="T53" s="27" t="str">
        <f>$R$63</f>
        <v/>
      </c>
      <c r="U53" s="27">
        <f>$S$63</f>
        <v>0</v>
      </c>
      <c r="V53" s="17">
        <f>$S$64</f>
        <v>0</v>
      </c>
      <c r="W53" s="29">
        <f>$S$65</f>
        <v>0</v>
      </c>
      <c r="X53" s="17"/>
      <c r="Z53" s="2"/>
      <c r="AA53" s="2"/>
      <c r="AD53" s="2"/>
      <c r="AE53" s="2"/>
      <c r="AF53" s="2"/>
      <c r="AG53" s="2"/>
      <c r="AH53" s="2"/>
      <c r="AJ53" s="26"/>
      <c r="AM53" s="26"/>
      <c r="AN53" s="26"/>
      <c r="AO53" s="26"/>
      <c r="AP53" s="26"/>
      <c r="AS53" s="2"/>
      <c r="AT53" s="19" t="str">
        <f t="shared" si="13"/>
        <v/>
      </c>
      <c r="AU53" s="28">
        <f t="shared" si="14"/>
        <v>0</v>
      </c>
      <c r="AW53" s="19" t="str">
        <f>AT$77</f>
        <v/>
      </c>
      <c r="AX53" s="29">
        <f>AU$77</f>
        <v>0</v>
      </c>
      <c r="AY53" s="99" t="str">
        <f t="shared" si="2"/>
        <v/>
      </c>
      <c r="AZ53" s="2"/>
      <c r="BA53" s="2"/>
      <c r="BB53" s="2"/>
      <c r="BC53" s="2"/>
    </row>
    <row r="54" spans="1:55" s="1" customFormat="1" ht="20.25" customHeight="1" thickBot="1" x14ac:dyDescent="0.3">
      <c r="A54" s="62"/>
      <c r="B54" s="39" t="s">
        <v>3</v>
      </c>
      <c r="C54" s="9" t="s">
        <v>4</v>
      </c>
      <c r="D54" s="10" t="s">
        <v>5</v>
      </c>
      <c r="E54" s="11" t="s">
        <v>3</v>
      </c>
      <c r="F54" s="9" t="s">
        <v>4</v>
      </c>
      <c r="G54" s="12" t="s">
        <v>5</v>
      </c>
      <c r="H54" s="11" t="s">
        <v>3</v>
      </c>
      <c r="I54" s="9" t="s">
        <v>4</v>
      </c>
      <c r="J54" s="12" t="s">
        <v>5</v>
      </c>
      <c r="K54" s="11" t="s">
        <v>3</v>
      </c>
      <c r="L54" s="9" t="s">
        <v>4</v>
      </c>
      <c r="M54" s="12" t="s">
        <v>5</v>
      </c>
      <c r="N54" s="76"/>
      <c r="O54" s="66"/>
      <c r="P54" s="62"/>
      <c r="Q54" s="59" t="s">
        <v>93</v>
      </c>
      <c r="R54" s="27" t="str">
        <f>$H$63</f>
        <v/>
      </c>
      <c r="S54" s="29">
        <f>$I$63</f>
        <v>0</v>
      </c>
      <c r="T54" s="27" t="str">
        <f>$R$69</f>
        <v/>
      </c>
      <c r="U54" s="27">
        <f>$S$69</f>
        <v>0</v>
      </c>
      <c r="V54" s="17">
        <f>$S$70</f>
        <v>0</v>
      </c>
      <c r="W54" s="29">
        <f>$S$71</f>
        <v>0</v>
      </c>
      <c r="X54" s="17"/>
      <c r="Z54" s="2"/>
      <c r="AA54" s="2"/>
      <c r="AD54" s="2"/>
      <c r="AE54" s="2"/>
      <c r="AF54" s="2"/>
      <c r="AG54" s="2"/>
      <c r="AH54" s="2"/>
      <c r="AJ54" s="26"/>
      <c r="AM54" s="26"/>
      <c r="AN54" s="26"/>
      <c r="AO54" s="26"/>
      <c r="AP54" s="26"/>
      <c r="AS54" s="2"/>
      <c r="AT54" s="19" t="str">
        <f t="shared" si="13"/>
        <v/>
      </c>
      <c r="AU54" s="28">
        <f t="shared" si="14"/>
        <v>0</v>
      </c>
      <c r="AW54" s="19" t="str">
        <f>AT$18</f>
        <v/>
      </c>
      <c r="AX54" s="29">
        <f>AU$18</f>
        <v>0</v>
      </c>
      <c r="AY54" s="99" t="str">
        <f t="shared" si="2"/>
        <v/>
      </c>
      <c r="AZ54" s="2"/>
      <c r="BA54" s="2"/>
      <c r="BB54" s="2"/>
      <c r="BC54" s="2"/>
    </row>
    <row r="55" spans="1:55" s="1" customFormat="1" ht="20.25" customHeight="1" x14ac:dyDescent="0.25">
      <c r="A55" s="62"/>
      <c r="B55" s="91">
        <f t="shared" ref="B55:B74" si="15">H30</f>
        <v>2</v>
      </c>
      <c r="C55" s="87"/>
      <c r="D55" s="88" t="str">
        <f t="shared" ref="D55:D74" si="16">IF(C55="","",J30)</f>
        <v/>
      </c>
      <c r="E55" s="91">
        <f t="shared" ref="E55:E74" si="17">B30</f>
        <v>4</v>
      </c>
      <c r="F55" s="87"/>
      <c r="G55" s="88" t="str">
        <f t="shared" ref="G55:G74" si="18">IF(F55="","",D30)</f>
        <v/>
      </c>
      <c r="H55" s="86">
        <f t="shared" ref="H55:H74" si="19">E30</f>
        <v>1</v>
      </c>
      <c r="I55" s="87"/>
      <c r="J55" s="88" t="str">
        <f t="shared" ref="J55:J74" si="20">IF(I55="","",G30)</f>
        <v/>
      </c>
      <c r="K55" s="91">
        <f t="shared" ref="K55:K74" si="21">K30</f>
        <v>3</v>
      </c>
      <c r="L55" s="87"/>
      <c r="M55" s="88" t="str">
        <f t="shared" ref="M55:M74" si="22">IF(L55="","",M30)</f>
        <v/>
      </c>
      <c r="N55" s="76"/>
      <c r="O55" s="66"/>
      <c r="P55" s="62"/>
      <c r="Q55" s="59" t="s">
        <v>94</v>
      </c>
      <c r="R55" s="27" t="str">
        <f>$B$13</f>
        <v/>
      </c>
      <c r="S55" s="29">
        <f>$C$13</f>
        <v>0</v>
      </c>
      <c r="T55" s="27" t="str">
        <f>$R$66</f>
        <v/>
      </c>
      <c r="U55" s="27">
        <f>$S$66</f>
        <v>0</v>
      </c>
      <c r="V55" s="17">
        <f>$S$67</f>
        <v>0</v>
      </c>
      <c r="W55" s="29">
        <f>$S$68</f>
        <v>0</v>
      </c>
      <c r="X55" s="17"/>
      <c r="Z55" s="2"/>
      <c r="AA55" s="2"/>
      <c r="AD55" s="2"/>
      <c r="AE55" s="2"/>
      <c r="AF55" s="2"/>
      <c r="AG55" s="2"/>
      <c r="AH55" s="2"/>
      <c r="AJ55" s="26"/>
      <c r="AM55" s="26"/>
      <c r="AN55" s="26"/>
      <c r="AO55" s="26"/>
      <c r="AP55" s="26"/>
      <c r="AS55" s="2"/>
      <c r="AT55" s="19" t="str">
        <f t="shared" si="13"/>
        <v/>
      </c>
      <c r="AU55" s="28">
        <f t="shared" si="14"/>
        <v>0</v>
      </c>
      <c r="AW55" s="19" t="str">
        <f>AT$38</f>
        <v/>
      </c>
      <c r="AX55" s="29">
        <f>AU$38</f>
        <v>0</v>
      </c>
      <c r="AY55" s="99" t="str">
        <f t="shared" si="2"/>
        <v/>
      </c>
      <c r="AZ55" s="2"/>
      <c r="BA55" s="2"/>
      <c r="BB55" s="2"/>
      <c r="BC55" s="2"/>
    </row>
    <row r="56" spans="1:55" s="1" customFormat="1" ht="20.25" customHeight="1" x14ac:dyDescent="0.25">
      <c r="A56" s="62"/>
      <c r="B56" s="91" t="str">
        <f t="shared" si="15"/>
        <v/>
      </c>
      <c r="C56" s="87"/>
      <c r="D56" s="88" t="str">
        <f t="shared" si="16"/>
        <v/>
      </c>
      <c r="E56" s="91" t="str">
        <f t="shared" si="17"/>
        <v/>
      </c>
      <c r="F56" s="87"/>
      <c r="G56" s="88" t="str">
        <f t="shared" si="18"/>
        <v/>
      </c>
      <c r="H56" s="86" t="str">
        <f t="shared" si="19"/>
        <v/>
      </c>
      <c r="I56" s="87"/>
      <c r="J56" s="88" t="str">
        <f t="shared" si="20"/>
        <v/>
      </c>
      <c r="K56" s="91" t="str">
        <f t="shared" si="21"/>
        <v/>
      </c>
      <c r="L56" s="87"/>
      <c r="M56" s="88" t="str">
        <f t="shared" si="22"/>
        <v/>
      </c>
      <c r="N56" s="76"/>
      <c r="O56" s="66"/>
      <c r="P56" s="62"/>
      <c r="Q56" s="59" t="s">
        <v>95</v>
      </c>
      <c r="R56" s="27" t="str">
        <f>$E$38</f>
        <v/>
      </c>
      <c r="S56" s="29">
        <f>$F$38</f>
        <v>0</v>
      </c>
      <c r="T56" s="27" t="str">
        <f>$R$72</f>
        <v/>
      </c>
      <c r="U56" s="27">
        <f>$S$72</f>
        <v>0</v>
      </c>
      <c r="V56" s="17">
        <f>$S$73</f>
        <v>0</v>
      </c>
      <c r="W56" s="29">
        <f>$S$74</f>
        <v>0</v>
      </c>
      <c r="X56" s="17"/>
      <c r="Z56" s="2"/>
      <c r="AA56" s="2"/>
      <c r="AD56" s="2"/>
      <c r="AE56" s="2"/>
      <c r="AF56" s="2"/>
      <c r="AG56" s="2"/>
      <c r="AH56" s="2"/>
      <c r="AJ56" s="26"/>
      <c r="AM56" s="26"/>
      <c r="AN56" s="26"/>
      <c r="AO56" s="26"/>
      <c r="AP56" s="26"/>
      <c r="AS56" s="2"/>
      <c r="AT56" s="19" t="str">
        <f t="shared" si="13"/>
        <v/>
      </c>
      <c r="AU56" s="28">
        <f t="shared" si="14"/>
        <v>0</v>
      </c>
      <c r="AW56" s="19" t="str">
        <f>AT$58</f>
        <v/>
      </c>
      <c r="AX56" s="29">
        <f>AU$58</f>
        <v>0</v>
      </c>
      <c r="AY56" s="99" t="str">
        <f t="shared" si="2"/>
        <v/>
      </c>
      <c r="AZ56" s="2"/>
      <c r="BA56" s="2"/>
      <c r="BB56" s="2"/>
      <c r="BC56" s="2"/>
    </row>
    <row r="57" spans="1:55" s="1" customFormat="1" ht="20.25" customHeight="1" x14ac:dyDescent="0.25">
      <c r="A57" s="62"/>
      <c r="B57" s="91" t="str">
        <f t="shared" si="15"/>
        <v/>
      </c>
      <c r="C57" s="87"/>
      <c r="D57" s="88" t="str">
        <f t="shared" si="16"/>
        <v/>
      </c>
      <c r="E57" s="91" t="str">
        <f t="shared" si="17"/>
        <v/>
      </c>
      <c r="F57" s="87"/>
      <c r="G57" s="88" t="str">
        <f t="shared" si="18"/>
        <v/>
      </c>
      <c r="H57" s="86" t="str">
        <f t="shared" si="19"/>
        <v/>
      </c>
      <c r="I57" s="87"/>
      <c r="J57" s="88" t="str">
        <f t="shared" si="20"/>
        <v/>
      </c>
      <c r="K57" s="91" t="str">
        <f t="shared" si="21"/>
        <v/>
      </c>
      <c r="L57" s="87"/>
      <c r="M57" s="88" t="str">
        <f t="shared" si="22"/>
        <v/>
      </c>
      <c r="N57" s="76"/>
      <c r="O57" s="66"/>
      <c r="P57" s="62"/>
      <c r="Q57" s="59" t="s">
        <v>96</v>
      </c>
      <c r="R57" s="27" t="str">
        <f>$H$38</f>
        <v/>
      </c>
      <c r="S57" s="29">
        <f>$I$38</f>
        <v>0</v>
      </c>
      <c r="T57" s="27" t="str">
        <f>$R$75</f>
        <v/>
      </c>
      <c r="U57" s="27">
        <f>$S$75</f>
        <v>0</v>
      </c>
      <c r="V57" s="17">
        <f>$S$76</f>
        <v>0</v>
      </c>
      <c r="W57" s="29">
        <f>$S$77</f>
        <v>0</v>
      </c>
      <c r="X57" s="17"/>
      <c r="Z57" s="2"/>
      <c r="AA57" s="2"/>
      <c r="AD57" s="2"/>
      <c r="AE57" s="2"/>
      <c r="AF57" s="2"/>
      <c r="AG57" s="2"/>
      <c r="AH57" s="2"/>
      <c r="AJ57" s="26"/>
      <c r="AM57" s="26"/>
      <c r="AN57" s="26"/>
      <c r="AO57" s="26"/>
      <c r="AP57" s="26"/>
      <c r="AS57" s="2"/>
      <c r="AT57" s="19" t="str">
        <f t="shared" si="13"/>
        <v/>
      </c>
      <c r="AU57" s="28">
        <f t="shared" si="14"/>
        <v>0</v>
      </c>
      <c r="AW57" s="19" t="str">
        <f>AT$78</f>
        <v/>
      </c>
      <c r="AX57" s="29">
        <f>AU$78</f>
        <v>0</v>
      </c>
      <c r="AY57" s="99" t="str">
        <f t="shared" si="2"/>
        <v/>
      </c>
      <c r="AZ57" s="2"/>
      <c r="BA57" s="2"/>
      <c r="BB57" s="2"/>
      <c r="BC57" s="2"/>
    </row>
    <row r="58" spans="1:55" s="1" customFormat="1" ht="20.25" customHeight="1" x14ac:dyDescent="0.25">
      <c r="A58" s="62"/>
      <c r="B58" s="91" t="str">
        <f t="shared" si="15"/>
        <v/>
      </c>
      <c r="C58" s="87"/>
      <c r="D58" s="88" t="str">
        <f t="shared" si="16"/>
        <v/>
      </c>
      <c r="E58" s="91" t="str">
        <f t="shared" si="17"/>
        <v/>
      </c>
      <c r="F58" s="87"/>
      <c r="G58" s="88" t="str">
        <f t="shared" si="18"/>
        <v/>
      </c>
      <c r="H58" s="86" t="str">
        <f t="shared" si="19"/>
        <v/>
      </c>
      <c r="I58" s="87"/>
      <c r="J58" s="88" t="str">
        <f t="shared" si="20"/>
        <v/>
      </c>
      <c r="K58" s="91" t="str">
        <f t="shared" si="21"/>
        <v/>
      </c>
      <c r="L58" s="87"/>
      <c r="M58" s="88" t="str">
        <f t="shared" si="22"/>
        <v/>
      </c>
      <c r="N58" s="76"/>
      <c r="O58" s="66"/>
      <c r="P58" s="62"/>
      <c r="Q58" s="59" t="s">
        <v>97</v>
      </c>
      <c r="R58" s="27" t="str">
        <f>$B$63</f>
        <v/>
      </c>
      <c r="S58" s="29">
        <f>$C$63</f>
        <v>0</v>
      </c>
      <c r="T58" s="27" t="str">
        <f>$R$78</f>
        <v/>
      </c>
      <c r="U58" s="27">
        <f>$S$78</f>
        <v>0</v>
      </c>
      <c r="V58" s="17">
        <f>$S$79</f>
        <v>0</v>
      </c>
      <c r="W58" s="29">
        <f>$S$80</f>
        <v>0</v>
      </c>
      <c r="X58" s="17"/>
      <c r="Z58" s="2"/>
      <c r="AA58" s="2"/>
      <c r="AD58" s="2"/>
      <c r="AE58" s="2"/>
      <c r="AF58" s="2"/>
      <c r="AG58" s="2"/>
      <c r="AH58" s="2"/>
      <c r="AJ58" s="26"/>
      <c r="AM58" s="26"/>
      <c r="AN58" s="26"/>
      <c r="AO58" s="26"/>
      <c r="AP58" s="26"/>
      <c r="AS58" s="2"/>
      <c r="AT58" s="19" t="str">
        <f t="shared" si="13"/>
        <v/>
      </c>
      <c r="AU58" s="28">
        <f t="shared" si="14"/>
        <v>0</v>
      </c>
      <c r="AW58" s="19" t="str">
        <f>AT$19</f>
        <v/>
      </c>
      <c r="AX58" s="29">
        <f>AU$19</f>
        <v>0</v>
      </c>
      <c r="AY58" s="99" t="str">
        <f t="shared" si="2"/>
        <v/>
      </c>
      <c r="AZ58" s="2"/>
      <c r="BA58" s="2"/>
      <c r="BB58" s="2"/>
      <c r="BC58" s="2"/>
    </row>
    <row r="59" spans="1:55" s="1" customFormat="1" ht="20.25" customHeight="1" x14ac:dyDescent="0.25">
      <c r="A59" s="62"/>
      <c r="B59" s="91" t="str">
        <f t="shared" si="15"/>
        <v/>
      </c>
      <c r="C59" s="87"/>
      <c r="D59" s="88" t="str">
        <f t="shared" si="16"/>
        <v/>
      </c>
      <c r="E59" s="91" t="str">
        <f t="shared" si="17"/>
        <v/>
      </c>
      <c r="F59" s="87"/>
      <c r="G59" s="88" t="str">
        <f t="shared" si="18"/>
        <v/>
      </c>
      <c r="H59" s="86" t="str">
        <f t="shared" si="19"/>
        <v/>
      </c>
      <c r="I59" s="87"/>
      <c r="J59" s="88" t="str">
        <f t="shared" si="20"/>
        <v/>
      </c>
      <c r="K59" s="91" t="str">
        <f t="shared" si="21"/>
        <v/>
      </c>
      <c r="L59" s="87"/>
      <c r="M59" s="88" t="str">
        <f t="shared" si="22"/>
        <v/>
      </c>
      <c r="N59" s="76"/>
      <c r="O59" s="66"/>
      <c r="P59" s="62"/>
      <c r="Q59" s="59" t="s">
        <v>98</v>
      </c>
      <c r="R59" s="27" t="str">
        <f>$E$13</f>
        <v/>
      </c>
      <c r="S59" s="29">
        <f>$F$13</f>
        <v>0</v>
      </c>
      <c r="T59" s="27" t="str">
        <f>$R$81</f>
        <v/>
      </c>
      <c r="U59" s="27">
        <f>$S$81</f>
        <v>0</v>
      </c>
      <c r="V59" s="17">
        <f>$S$82</f>
        <v>0</v>
      </c>
      <c r="W59" s="29">
        <f>$S$83</f>
        <v>0</v>
      </c>
      <c r="X59" s="17"/>
      <c r="Z59" s="2"/>
      <c r="AA59" s="2"/>
      <c r="AD59" s="2"/>
      <c r="AE59" s="2"/>
      <c r="AF59" s="2"/>
      <c r="AG59" s="2"/>
      <c r="AH59" s="2"/>
      <c r="AJ59" s="26"/>
      <c r="AM59" s="26"/>
      <c r="AN59" s="26"/>
      <c r="AO59" s="26"/>
      <c r="AP59" s="26"/>
      <c r="AS59" s="2"/>
      <c r="AT59" s="19" t="str">
        <f t="shared" si="13"/>
        <v/>
      </c>
      <c r="AU59" s="28">
        <f t="shared" si="14"/>
        <v>0</v>
      </c>
      <c r="AW59" s="19" t="str">
        <f>AT$39</f>
        <v/>
      </c>
      <c r="AX59" s="29">
        <f>AU$39</f>
        <v>0</v>
      </c>
      <c r="AY59" s="99" t="str">
        <f t="shared" si="2"/>
        <v/>
      </c>
      <c r="AZ59" s="2"/>
      <c r="BA59" s="2"/>
      <c r="BB59" s="2"/>
      <c r="BC59" s="2"/>
    </row>
    <row r="60" spans="1:55" s="1" customFormat="1" ht="20.25" customHeight="1" x14ac:dyDescent="0.25">
      <c r="A60" s="62"/>
      <c r="B60" s="91" t="str">
        <f t="shared" si="15"/>
        <v/>
      </c>
      <c r="C60" s="87"/>
      <c r="D60" s="88" t="str">
        <f t="shared" si="16"/>
        <v/>
      </c>
      <c r="E60" s="91" t="str">
        <f t="shared" si="17"/>
        <v/>
      </c>
      <c r="F60" s="87"/>
      <c r="G60" s="88" t="str">
        <f t="shared" si="18"/>
        <v/>
      </c>
      <c r="H60" s="86" t="str">
        <f t="shared" si="19"/>
        <v/>
      </c>
      <c r="I60" s="87"/>
      <c r="J60" s="88" t="str">
        <f t="shared" si="20"/>
        <v/>
      </c>
      <c r="K60" s="91" t="str">
        <f t="shared" si="21"/>
        <v/>
      </c>
      <c r="L60" s="87"/>
      <c r="M60" s="88" t="str">
        <f t="shared" si="22"/>
        <v/>
      </c>
      <c r="N60" s="76"/>
      <c r="O60" s="66"/>
      <c r="P60" s="62"/>
      <c r="Q60" s="59" t="s">
        <v>99</v>
      </c>
      <c r="R60" s="27" t="str">
        <f>$K$38</f>
        <v/>
      </c>
      <c r="S60" s="29">
        <f>$L$38</f>
        <v>0</v>
      </c>
      <c r="T60" s="27" t="str">
        <f>$R$84</f>
        <v/>
      </c>
      <c r="U60" s="27">
        <f>$S$84</f>
        <v>0</v>
      </c>
      <c r="V60" s="17">
        <f>$S$85</f>
        <v>0</v>
      </c>
      <c r="W60" s="29">
        <f>$S$86</f>
        <v>0</v>
      </c>
      <c r="X60" s="17"/>
      <c r="Z60" s="2"/>
      <c r="AA60" s="2"/>
      <c r="AD60" s="2"/>
      <c r="AE60" s="2"/>
      <c r="AF60" s="2"/>
      <c r="AG60" s="2"/>
      <c r="AH60" s="2"/>
      <c r="AJ60" s="26"/>
      <c r="AM60" s="26"/>
      <c r="AN60" s="26"/>
      <c r="AO60" s="26"/>
      <c r="AP60" s="26"/>
      <c r="AS60" s="2"/>
      <c r="AT60" s="19" t="str">
        <f t="shared" si="13"/>
        <v/>
      </c>
      <c r="AU60" s="28">
        <f t="shared" si="14"/>
        <v>0</v>
      </c>
      <c r="AW60" s="19" t="str">
        <f>AT$59</f>
        <v/>
      </c>
      <c r="AX60" s="29">
        <f>AU$59</f>
        <v>0</v>
      </c>
      <c r="AY60" s="99" t="str">
        <f t="shared" si="2"/>
        <v/>
      </c>
      <c r="AZ60" s="2"/>
      <c r="BA60" s="2"/>
      <c r="BB60" s="2"/>
      <c r="BC60" s="2"/>
    </row>
    <row r="61" spans="1:55" s="1" customFormat="1" ht="20.25" customHeight="1" x14ac:dyDescent="0.25">
      <c r="A61" s="62"/>
      <c r="B61" s="91" t="str">
        <f t="shared" si="15"/>
        <v/>
      </c>
      <c r="C61" s="87"/>
      <c r="D61" s="88" t="str">
        <f t="shared" si="16"/>
        <v/>
      </c>
      <c r="E61" s="91" t="str">
        <f t="shared" si="17"/>
        <v/>
      </c>
      <c r="F61" s="87"/>
      <c r="G61" s="88" t="str">
        <f t="shared" si="18"/>
        <v/>
      </c>
      <c r="H61" s="86" t="str">
        <f t="shared" si="19"/>
        <v/>
      </c>
      <c r="I61" s="87"/>
      <c r="J61" s="88" t="str">
        <f t="shared" si="20"/>
        <v/>
      </c>
      <c r="K61" s="91" t="str">
        <f t="shared" si="21"/>
        <v/>
      </c>
      <c r="L61" s="87"/>
      <c r="M61" s="88" t="str">
        <f t="shared" si="22"/>
        <v/>
      </c>
      <c r="N61" s="76"/>
      <c r="O61" s="66"/>
      <c r="P61" s="62"/>
      <c r="Q61" s="59" t="s">
        <v>100</v>
      </c>
      <c r="R61" s="27" t="str">
        <f>$H$13</f>
        <v/>
      </c>
      <c r="S61" s="29">
        <f>$I$13</f>
        <v>0</v>
      </c>
      <c r="T61" s="27" t="str">
        <f>$R$87</f>
        <v/>
      </c>
      <c r="U61" s="27">
        <f>$S$87</f>
        <v>0</v>
      </c>
      <c r="V61" s="17">
        <f>$S$88</f>
        <v>0</v>
      </c>
      <c r="W61" s="29">
        <f>$S$89</f>
        <v>0</v>
      </c>
      <c r="X61" s="17"/>
      <c r="Z61" s="2"/>
      <c r="AA61" s="2"/>
      <c r="AD61" s="2"/>
      <c r="AE61" s="2"/>
      <c r="AF61" s="2"/>
      <c r="AG61" s="2"/>
      <c r="AH61" s="2"/>
      <c r="AJ61" s="26"/>
      <c r="AM61" s="26"/>
      <c r="AN61" s="26"/>
      <c r="AO61" s="26"/>
      <c r="AP61" s="26"/>
      <c r="AS61" s="2"/>
      <c r="AT61" s="19" t="str">
        <f t="shared" si="13"/>
        <v/>
      </c>
      <c r="AU61" s="28">
        <f t="shared" si="14"/>
        <v>0</v>
      </c>
      <c r="AW61" s="19" t="str">
        <f>AT$79</f>
        <v/>
      </c>
      <c r="AX61" s="29">
        <f>AU$79</f>
        <v>0</v>
      </c>
      <c r="AY61" s="99" t="str">
        <f t="shared" si="2"/>
        <v/>
      </c>
      <c r="AZ61" s="2"/>
      <c r="BA61" s="2"/>
      <c r="BB61" s="2"/>
      <c r="BC61" s="2"/>
    </row>
    <row r="62" spans="1:55" s="1" customFormat="1" ht="20.25" customHeight="1" x14ac:dyDescent="0.25">
      <c r="A62" s="62"/>
      <c r="B62" s="91" t="str">
        <f t="shared" si="15"/>
        <v/>
      </c>
      <c r="C62" s="87"/>
      <c r="D62" s="88" t="str">
        <f t="shared" si="16"/>
        <v/>
      </c>
      <c r="E62" s="91" t="str">
        <f t="shared" si="17"/>
        <v/>
      </c>
      <c r="F62" s="87"/>
      <c r="G62" s="88" t="str">
        <f t="shared" si="18"/>
        <v/>
      </c>
      <c r="H62" s="86" t="str">
        <f t="shared" si="19"/>
        <v/>
      </c>
      <c r="I62" s="87"/>
      <c r="J62" s="88" t="str">
        <f t="shared" si="20"/>
        <v/>
      </c>
      <c r="K62" s="91" t="str">
        <f t="shared" si="21"/>
        <v/>
      </c>
      <c r="L62" s="87"/>
      <c r="M62" s="88" t="str">
        <f t="shared" si="22"/>
        <v/>
      </c>
      <c r="N62" s="76"/>
      <c r="O62" s="66"/>
      <c r="P62" s="62"/>
      <c r="Q62" s="59" t="s">
        <v>101</v>
      </c>
      <c r="R62" s="27" t="str">
        <f>$K$63</f>
        <v/>
      </c>
      <c r="S62" s="29">
        <f>$L$63</f>
        <v>0</v>
      </c>
      <c r="T62" s="27" t="str">
        <f>$R$102</f>
        <v/>
      </c>
      <c r="U62" s="27">
        <f>$S$102</f>
        <v>0</v>
      </c>
      <c r="V62" s="17">
        <f>$S$103</f>
        <v>0</v>
      </c>
      <c r="W62" s="29">
        <f>$S$104</f>
        <v>0</v>
      </c>
      <c r="X62" s="17"/>
      <c r="Z62" s="2"/>
      <c r="AA62" s="2"/>
      <c r="AD62" s="2"/>
      <c r="AE62" s="2"/>
      <c r="AF62" s="2"/>
      <c r="AG62" s="2"/>
      <c r="AH62" s="2"/>
      <c r="AJ62" s="26"/>
      <c r="AM62" s="26"/>
      <c r="AN62" s="26"/>
      <c r="AO62" s="26"/>
      <c r="AP62" s="26"/>
      <c r="AS62" s="2"/>
      <c r="AT62" s="19" t="str">
        <f t="shared" si="13"/>
        <v/>
      </c>
      <c r="AU62" s="28">
        <f t="shared" si="14"/>
        <v>0</v>
      </c>
      <c r="AW62" s="19" t="str">
        <f>AT$20</f>
        <v/>
      </c>
      <c r="AX62" s="29">
        <f>AU$20</f>
        <v>0</v>
      </c>
      <c r="AY62" s="99" t="str">
        <f t="shared" si="2"/>
        <v/>
      </c>
      <c r="AZ62" s="2"/>
      <c r="BA62" s="2"/>
      <c r="BB62" s="2"/>
      <c r="BC62" s="2"/>
    </row>
    <row r="63" spans="1:55" s="1" customFormat="1" ht="20.25" customHeight="1" x14ac:dyDescent="0.25">
      <c r="A63" s="62"/>
      <c r="B63" s="91" t="str">
        <f t="shared" si="15"/>
        <v/>
      </c>
      <c r="C63" s="87"/>
      <c r="D63" s="88" t="str">
        <f t="shared" si="16"/>
        <v/>
      </c>
      <c r="E63" s="91" t="str">
        <f t="shared" si="17"/>
        <v/>
      </c>
      <c r="F63" s="87"/>
      <c r="G63" s="88" t="str">
        <f t="shared" si="18"/>
        <v/>
      </c>
      <c r="H63" s="86" t="str">
        <f t="shared" si="19"/>
        <v/>
      </c>
      <c r="I63" s="87"/>
      <c r="J63" s="88" t="str">
        <f t="shared" si="20"/>
        <v/>
      </c>
      <c r="K63" s="91" t="str">
        <f t="shared" si="21"/>
        <v/>
      </c>
      <c r="L63" s="87"/>
      <c r="M63" s="88" t="str">
        <f t="shared" si="22"/>
        <v/>
      </c>
      <c r="N63" s="76"/>
      <c r="O63" s="66"/>
      <c r="P63" s="62"/>
      <c r="Q63" s="59" t="s">
        <v>102</v>
      </c>
      <c r="R63" s="27" t="str">
        <f>$K$13</f>
        <v/>
      </c>
      <c r="S63" s="29">
        <f>$L$13</f>
        <v>0</v>
      </c>
      <c r="T63" s="27" t="str">
        <f>$R$120</f>
        <v/>
      </c>
      <c r="U63" s="27">
        <f>$S$120</f>
        <v>0</v>
      </c>
      <c r="V63" s="17">
        <f>$S$121</f>
        <v>0</v>
      </c>
      <c r="W63" s="29">
        <f>$S$122</f>
        <v>0</v>
      </c>
      <c r="X63" s="17"/>
      <c r="Z63" s="2"/>
      <c r="AA63" s="2"/>
      <c r="AD63" s="2"/>
      <c r="AE63" s="2"/>
      <c r="AF63" s="2"/>
      <c r="AG63" s="2"/>
      <c r="AH63" s="2"/>
      <c r="AJ63" s="26"/>
      <c r="AM63" s="26"/>
      <c r="AN63" s="26"/>
      <c r="AO63" s="26"/>
      <c r="AP63" s="26"/>
      <c r="AS63" s="2"/>
      <c r="AT63" s="19" t="str">
        <f t="shared" si="13"/>
        <v/>
      </c>
      <c r="AU63" s="28">
        <f t="shared" si="14"/>
        <v>0</v>
      </c>
      <c r="AW63" s="19" t="str">
        <f>AT$40</f>
        <v/>
      </c>
      <c r="AX63" s="29">
        <f>AU$40</f>
        <v>0</v>
      </c>
      <c r="AY63" s="99" t="str">
        <f t="shared" si="2"/>
        <v/>
      </c>
      <c r="AZ63" s="2"/>
      <c r="BA63" s="2"/>
      <c r="BB63" s="2"/>
      <c r="BC63" s="2"/>
    </row>
    <row r="64" spans="1:55" s="1" customFormat="1" ht="20.25" customHeight="1" x14ac:dyDescent="0.25">
      <c r="A64" s="62"/>
      <c r="B64" s="91" t="str">
        <f t="shared" si="15"/>
        <v/>
      </c>
      <c r="C64" s="87"/>
      <c r="D64" s="88" t="str">
        <f t="shared" si="16"/>
        <v/>
      </c>
      <c r="E64" s="91" t="str">
        <f t="shared" si="17"/>
        <v/>
      </c>
      <c r="F64" s="87"/>
      <c r="G64" s="88" t="str">
        <f t="shared" si="18"/>
        <v/>
      </c>
      <c r="H64" s="86" t="str">
        <f t="shared" si="19"/>
        <v/>
      </c>
      <c r="I64" s="87"/>
      <c r="J64" s="88" t="str">
        <f t="shared" si="20"/>
        <v/>
      </c>
      <c r="K64" s="91" t="str">
        <f t="shared" si="21"/>
        <v/>
      </c>
      <c r="L64" s="87"/>
      <c r="M64" s="88" t="str">
        <f t="shared" si="22"/>
        <v/>
      </c>
      <c r="N64" s="76"/>
      <c r="O64" s="66"/>
      <c r="P64" s="62"/>
      <c r="Q64" s="59" t="s">
        <v>103</v>
      </c>
      <c r="R64" s="27" t="str">
        <f>$E$63</f>
        <v/>
      </c>
      <c r="S64" s="29">
        <f>$F$63</f>
        <v>0</v>
      </c>
      <c r="T64" s="27" t="str">
        <f>$R$105</f>
        <v/>
      </c>
      <c r="U64" s="27">
        <f>$S$105</f>
        <v>0</v>
      </c>
      <c r="V64" s="17">
        <f>$S$106</f>
        <v>0</v>
      </c>
      <c r="W64" s="29">
        <f>$S$107</f>
        <v>0</v>
      </c>
      <c r="X64" s="17"/>
      <c r="Z64" s="2"/>
      <c r="AA64" s="2"/>
      <c r="AD64" s="2"/>
      <c r="AE64" s="2"/>
      <c r="AF64" s="2"/>
      <c r="AG64" s="2"/>
      <c r="AH64" s="2"/>
      <c r="AJ64" s="26"/>
      <c r="AM64" s="26"/>
      <c r="AN64" s="26"/>
      <c r="AO64" s="26"/>
      <c r="AP64" s="26"/>
      <c r="AS64" s="2"/>
      <c r="AT64" s="19" t="str">
        <f t="shared" si="13"/>
        <v/>
      </c>
      <c r="AU64" s="28">
        <f t="shared" si="14"/>
        <v>0</v>
      </c>
      <c r="AW64" s="19" t="str">
        <f>AT$60</f>
        <v/>
      </c>
      <c r="AX64" s="29">
        <f>AU$60</f>
        <v>0</v>
      </c>
      <c r="AY64" s="99" t="str">
        <f t="shared" si="2"/>
        <v/>
      </c>
      <c r="AZ64" s="2"/>
      <c r="BA64" s="2"/>
      <c r="BB64" s="2"/>
      <c r="BC64" s="2"/>
    </row>
    <row r="65" spans="1:55" s="1" customFormat="1" ht="20.25" customHeight="1" x14ac:dyDescent="0.25">
      <c r="A65" s="62"/>
      <c r="B65" s="91" t="str">
        <f t="shared" si="15"/>
        <v/>
      </c>
      <c r="C65" s="87"/>
      <c r="D65" s="88" t="str">
        <f t="shared" si="16"/>
        <v/>
      </c>
      <c r="E65" s="91" t="str">
        <f t="shared" si="17"/>
        <v/>
      </c>
      <c r="F65" s="87"/>
      <c r="G65" s="88" t="str">
        <f t="shared" si="18"/>
        <v/>
      </c>
      <c r="H65" s="86" t="str">
        <f t="shared" si="19"/>
        <v/>
      </c>
      <c r="I65" s="87"/>
      <c r="J65" s="88" t="str">
        <f t="shared" si="20"/>
        <v/>
      </c>
      <c r="K65" s="91" t="str">
        <f t="shared" si="21"/>
        <v/>
      </c>
      <c r="L65" s="87"/>
      <c r="M65" s="88" t="str">
        <f t="shared" si="22"/>
        <v/>
      </c>
      <c r="N65" s="76"/>
      <c r="O65" s="66"/>
      <c r="P65" s="62"/>
      <c r="Q65" s="59" t="s">
        <v>104</v>
      </c>
      <c r="R65" s="27" t="str">
        <f>$B$38</f>
        <v/>
      </c>
      <c r="S65" s="29">
        <f>$C$38</f>
        <v>0</v>
      </c>
      <c r="T65" s="27" t="str">
        <f>$R$117</f>
        <v/>
      </c>
      <c r="U65" s="27">
        <f>$S$117</f>
        <v>0</v>
      </c>
      <c r="V65" s="17">
        <f>$S$118</f>
        <v>0</v>
      </c>
      <c r="W65" s="29">
        <f>$S$119</f>
        <v>0</v>
      </c>
      <c r="X65" s="17"/>
      <c r="Z65" s="2"/>
      <c r="AA65" s="2"/>
      <c r="AD65" s="2"/>
      <c r="AE65" s="2"/>
      <c r="AF65" s="2"/>
      <c r="AG65" s="2"/>
      <c r="AH65" s="2"/>
      <c r="AJ65" s="26"/>
      <c r="AM65" s="26"/>
      <c r="AN65" s="26"/>
      <c r="AO65" s="26"/>
      <c r="AP65" s="26"/>
      <c r="AS65" s="2"/>
      <c r="AT65" s="19" t="str">
        <f t="shared" si="13"/>
        <v/>
      </c>
      <c r="AU65" s="28">
        <f t="shared" si="14"/>
        <v>0</v>
      </c>
      <c r="AW65" s="19" t="str">
        <f>AT$80</f>
        <v/>
      </c>
      <c r="AX65" s="29">
        <f>AU$80</f>
        <v>0</v>
      </c>
      <c r="AY65" s="99" t="str">
        <f t="shared" si="2"/>
        <v/>
      </c>
      <c r="AZ65" s="2"/>
      <c r="BA65" s="2"/>
      <c r="BB65" s="2"/>
      <c r="BC65" s="2"/>
    </row>
    <row r="66" spans="1:55" s="1" customFormat="1" ht="20.25" customHeight="1" x14ac:dyDescent="0.25">
      <c r="A66" s="62"/>
      <c r="B66" s="91" t="str">
        <f t="shared" si="15"/>
        <v/>
      </c>
      <c r="C66" s="87"/>
      <c r="D66" s="88" t="str">
        <f t="shared" si="16"/>
        <v/>
      </c>
      <c r="E66" s="91" t="str">
        <f t="shared" si="17"/>
        <v/>
      </c>
      <c r="F66" s="87"/>
      <c r="G66" s="88" t="str">
        <f t="shared" si="18"/>
        <v/>
      </c>
      <c r="H66" s="86" t="str">
        <f t="shared" si="19"/>
        <v/>
      </c>
      <c r="I66" s="87"/>
      <c r="J66" s="88" t="str">
        <f t="shared" si="20"/>
        <v/>
      </c>
      <c r="K66" s="91" t="str">
        <f t="shared" si="21"/>
        <v/>
      </c>
      <c r="L66" s="87"/>
      <c r="M66" s="88" t="str">
        <f t="shared" si="22"/>
        <v/>
      </c>
      <c r="N66" s="76"/>
      <c r="O66" s="66"/>
      <c r="P66" s="62"/>
      <c r="Q66" s="59" t="s">
        <v>105</v>
      </c>
      <c r="R66" s="27" t="str">
        <f>$B$14</f>
        <v/>
      </c>
      <c r="S66" s="29">
        <f>$C$14</f>
        <v>0</v>
      </c>
      <c r="T66" s="27" t="str">
        <f>$R$93</f>
        <v/>
      </c>
      <c r="U66" s="27">
        <f>$S$93</f>
        <v>0</v>
      </c>
      <c r="V66" s="17">
        <f>$S$94</f>
        <v>0</v>
      </c>
      <c r="W66" s="29">
        <f>$S$95</f>
        <v>0</v>
      </c>
      <c r="X66" s="17"/>
      <c r="Z66" s="2"/>
      <c r="AA66" s="2"/>
      <c r="AD66" s="2"/>
      <c r="AE66" s="2"/>
      <c r="AF66" s="2"/>
      <c r="AG66" s="2"/>
      <c r="AH66" s="2"/>
      <c r="AJ66" s="26"/>
      <c r="AM66" s="26"/>
      <c r="AN66" s="26"/>
      <c r="AO66" s="26"/>
      <c r="AP66" s="26"/>
      <c r="AS66" s="2"/>
      <c r="AT66" s="19">
        <f t="shared" ref="AT66:AT85" si="23">K5</f>
        <v>4</v>
      </c>
      <c r="AU66" s="28">
        <f t="shared" ref="AU66:AU85" si="24">MAX(L5,C30,F55)</f>
        <v>0</v>
      </c>
      <c r="AW66" s="19" t="str">
        <f>AT$21</f>
        <v/>
      </c>
      <c r="AX66" s="29">
        <f>AU$21</f>
        <v>0</v>
      </c>
      <c r="AY66" s="99" t="str">
        <f t="shared" si="2"/>
        <v/>
      </c>
      <c r="AZ66" s="2"/>
      <c r="BA66" s="2"/>
      <c r="BB66" s="2"/>
      <c r="BC66" s="2"/>
    </row>
    <row r="67" spans="1:55" s="1" customFormat="1" ht="20.25" customHeight="1" x14ac:dyDescent="0.25">
      <c r="A67" s="62"/>
      <c r="B67" s="91" t="str">
        <f t="shared" si="15"/>
        <v/>
      </c>
      <c r="C67" s="87"/>
      <c r="D67" s="88" t="str">
        <f t="shared" si="16"/>
        <v/>
      </c>
      <c r="E67" s="91" t="str">
        <f t="shared" si="17"/>
        <v/>
      </c>
      <c r="F67" s="87"/>
      <c r="G67" s="88" t="str">
        <f t="shared" si="18"/>
        <v/>
      </c>
      <c r="H67" s="86" t="str">
        <f t="shared" si="19"/>
        <v/>
      </c>
      <c r="I67" s="87"/>
      <c r="J67" s="88" t="str">
        <f t="shared" si="20"/>
        <v/>
      </c>
      <c r="K67" s="91" t="str">
        <f t="shared" si="21"/>
        <v/>
      </c>
      <c r="L67" s="87"/>
      <c r="M67" s="88" t="str">
        <f t="shared" si="22"/>
        <v/>
      </c>
      <c r="N67" s="76"/>
      <c r="O67" s="66"/>
      <c r="P67" s="62"/>
      <c r="Q67" s="59" t="s">
        <v>106</v>
      </c>
      <c r="R67" s="27" t="str">
        <f>$H$64</f>
        <v/>
      </c>
      <c r="S67" s="29">
        <f>$I$64</f>
        <v>0</v>
      </c>
      <c r="T67" s="27" t="str">
        <f>$R$99</f>
        <v/>
      </c>
      <c r="U67" s="27">
        <f>$S$99</f>
        <v>0</v>
      </c>
      <c r="V67" s="17">
        <f>$S$100</f>
        <v>0</v>
      </c>
      <c r="W67" s="29">
        <f>$S$101</f>
        <v>0</v>
      </c>
      <c r="X67" s="17"/>
      <c r="Z67" s="2"/>
      <c r="AA67" s="2"/>
      <c r="AD67" s="2"/>
      <c r="AE67" s="2"/>
      <c r="AF67" s="2"/>
      <c r="AG67" s="2"/>
      <c r="AH67" s="2"/>
      <c r="AJ67" s="26"/>
      <c r="AM67" s="26"/>
      <c r="AN67" s="26"/>
      <c r="AO67" s="26"/>
      <c r="AP67" s="26"/>
      <c r="AS67" s="2"/>
      <c r="AT67" s="19" t="str">
        <f t="shared" si="23"/>
        <v/>
      </c>
      <c r="AU67" s="28">
        <f t="shared" si="24"/>
        <v>0</v>
      </c>
      <c r="AW67" s="19" t="str">
        <f>AT$41</f>
        <v/>
      </c>
      <c r="AX67" s="29">
        <f>AU$41</f>
        <v>0</v>
      </c>
      <c r="AY67" s="99" t="str">
        <f t="shared" si="2"/>
        <v/>
      </c>
      <c r="AZ67" s="2"/>
      <c r="BA67" s="2"/>
      <c r="BB67" s="2"/>
      <c r="BC67" s="2"/>
    </row>
    <row r="68" spans="1:55" s="1" customFormat="1" ht="20.25" customHeight="1" x14ac:dyDescent="0.25">
      <c r="A68" s="62"/>
      <c r="B68" s="91" t="str">
        <f t="shared" si="15"/>
        <v/>
      </c>
      <c r="C68" s="87"/>
      <c r="D68" s="88" t="str">
        <f t="shared" si="16"/>
        <v/>
      </c>
      <c r="E68" s="91" t="str">
        <f t="shared" si="17"/>
        <v/>
      </c>
      <c r="F68" s="87"/>
      <c r="G68" s="88" t="str">
        <f t="shared" si="18"/>
        <v/>
      </c>
      <c r="H68" s="86" t="str">
        <f t="shared" si="19"/>
        <v/>
      </c>
      <c r="I68" s="87"/>
      <c r="J68" s="88" t="str">
        <f t="shared" si="20"/>
        <v/>
      </c>
      <c r="K68" s="91" t="str">
        <f t="shared" si="21"/>
        <v/>
      </c>
      <c r="L68" s="87"/>
      <c r="M68" s="88" t="str">
        <f t="shared" si="22"/>
        <v/>
      </c>
      <c r="N68" s="76"/>
      <c r="O68" s="66"/>
      <c r="P68" s="62"/>
      <c r="Q68" s="59" t="s">
        <v>107</v>
      </c>
      <c r="R68" s="27" t="str">
        <f>$E$39</f>
        <v/>
      </c>
      <c r="S68" s="29">
        <f>$F$39</f>
        <v>0</v>
      </c>
      <c r="T68" s="27" t="str">
        <f>$R$153</f>
        <v/>
      </c>
      <c r="U68" s="27">
        <f>$S$153</f>
        <v>0</v>
      </c>
      <c r="V68" s="17">
        <f>$S$154</f>
        <v>0</v>
      </c>
      <c r="W68" s="29">
        <f>$S$155</f>
        <v>0</v>
      </c>
      <c r="X68" s="17"/>
      <c r="Z68" s="2"/>
      <c r="AA68" s="2"/>
      <c r="AD68" s="2"/>
      <c r="AE68" s="2"/>
      <c r="AF68" s="2"/>
      <c r="AG68" s="2"/>
      <c r="AH68" s="2"/>
      <c r="AJ68" s="26"/>
      <c r="AM68" s="26"/>
      <c r="AN68" s="26"/>
      <c r="AO68" s="26"/>
      <c r="AP68" s="26"/>
      <c r="AS68" s="2"/>
      <c r="AT68" s="19" t="str">
        <f t="shared" si="23"/>
        <v/>
      </c>
      <c r="AU68" s="28">
        <f t="shared" si="24"/>
        <v>0</v>
      </c>
      <c r="AW68" s="19" t="str">
        <f>AT$61</f>
        <v/>
      </c>
      <c r="AX68" s="29">
        <f>AU$61</f>
        <v>0</v>
      </c>
      <c r="AY68" s="99" t="str">
        <f t="shared" si="2"/>
        <v/>
      </c>
      <c r="AZ68" s="2"/>
      <c r="BA68" s="2"/>
      <c r="BB68" s="2"/>
      <c r="BC68" s="2"/>
    </row>
    <row r="69" spans="1:55" s="1" customFormat="1" ht="20.25" customHeight="1" x14ac:dyDescent="0.25">
      <c r="A69" s="62"/>
      <c r="B69" s="91" t="str">
        <f t="shared" si="15"/>
        <v/>
      </c>
      <c r="C69" s="87"/>
      <c r="D69" s="88" t="str">
        <f t="shared" si="16"/>
        <v/>
      </c>
      <c r="E69" s="91" t="str">
        <f t="shared" si="17"/>
        <v/>
      </c>
      <c r="F69" s="87"/>
      <c r="G69" s="88" t="str">
        <f t="shared" si="18"/>
        <v/>
      </c>
      <c r="H69" s="86" t="str">
        <f t="shared" si="19"/>
        <v/>
      </c>
      <c r="I69" s="87"/>
      <c r="J69" s="88" t="str">
        <f t="shared" si="20"/>
        <v/>
      </c>
      <c r="K69" s="91" t="str">
        <f t="shared" si="21"/>
        <v/>
      </c>
      <c r="L69" s="87"/>
      <c r="M69" s="88" t="str">
        <f t="shared" si="22"/>
        <v/>
      </c>
      <c r="N69" s="76"/>
      <c r="O69" s="66"/>
      <c r="P69" s="62"/>
      <c r="Q69" s="59" t="s">
        <v>108</v>
      </c>
      <c r="R69" s="27" t="str">
        <f>$E$14</f>
        <v/>
      </c>
      <c r="S69" s="29">
        <f>$F$14</f>
        <v>0</v>
      </c>
      <c r="T69" s="27" t="str">
        <f>$R$150</f>
        <v/>
      </c>
      <c r="U69" s="27">
        <f>$S$150</f>
        <v>0</v>
      </c>
      <c r="V69" s="17">
        <f>$S$151</f>
        <v>0</v>
      </c>
      <c r="W69" s="29">
        <f>$S$152</f>
        <v>0</v>
      </c>
      <c r="X69" s="17"/>
      <c r="Z69" s="2"/>
      <c r="AA69" s="2"/>
      <c r="AD69" s="2"/>
      <c r="AE69" s="2"/>
      <c r="AF69" s="2"/>
      <c r="AG69" s="2"/>
      <c r="AH69" s="2"/>
      <c r="AJ69" s="26"/>
      <c r="AM69" s="26"/>
      <c r="AN69" s="26"/>
      <c r="AO69" s="26"/>
      <c r="AP69" s="26"/>
      <c r="AS69" s="2"/>
      <c r="AT69" s="19" t="str">
        <f t="shared" si="23"/>
        <v/>
      </c>
      <c r="AU69" s="28">
        <f t="shared" si="24"/>
        <v>0</v>
      </c>
      <c r="AW69" s="19" t="str">
        <f>AT$81</f>
        <v/>
      </c>
      <c r="AX69" s="29">
        <f>AU$81</f>
        <v>0</v>
      </c>
      <c r="AY69" s="99" t="str">
        <f t="shared" si="2"/>
        <v/>
      </c>
      <c r="AZ69" s="2"/>
      <c r="BA69" s="2"/>
      <c r="BB69" s="2"/>
      <c r="BC69" s="2"/>
    </row>
    <row r="70" spans="1:55" s="1" customFormat="1" ht="20.25" customHeight="1" x14ac:dyDescent="0.25">
      <c r="A70" s="62"/>
      <c r="B70" s="91" t="str">
        <f t="shared" si="15"/>
        <v/>
      </c>
      <c r="C70" s="87"/>
      <c r="D70" s="88" t="str">
        <f t="shared" si="16"/>
        <v/>
      </c>
      <c r="E70" s="91" t="str">
        <f t="shared" si="17"/>
        <v/>
      </c>
      <c r="F70" s="87"/>
      <c r="G70" s="88" t="str">
        <f t="shared" si="18"/>
        <v/>
      </c>
      <c r="H70" s="86" t="str">
        <f t="shared" si="19"/>
        <v/>
      </c>
      <c r="I70" s="87"/>
      <c r="J70" s="88" t="str">
        <f t="shared" si="20"/>
        <v/>
      </c>
      <c r="K70" s="91" t="str">
        <f t="shared" si="21"/>
        <v/>
      </c>
      <c r="L70" s="87"/>
      <c r="M70" s="88" t="str">
        <f t="shared" si="22"/>
        <v/>
      </c>
      <c r="N70" s="76"/>
      <c r="O70" s="66"/>
      <c r="P70" s="62"/>
      <c r="Q70" s="59" t="s">
        <v>109</v>
      </c>
      <c r="R70" s="27" t="str">
        <f>$B$64</f>
        <v/>
      </c>
      <c r="S70" s="29">
        <f>$C$64</f>
        <v>0</v>
      </c>
      <c r="T70" s="27" t="str">
        <f>$R$96</f>
        <v/>
      </c>
      <c r="U70" s="27">
        <f>$S$96</f>
        <v>0</v>
      </c>
      <c r="V70" s="17">
        <f>$S$97</f>
        <v>0</v>
      </c>
      <c r="W70" s="29">
        <f>$S$98</f>
        <v>0</v>
      </c>
      <c r="X70" s="17"/>
      <c r="Z70" s="2"/>
      <c r="AA70" s="2"/>
      <c r="AD70" s="2"/>
      <c r="AE70" s="2"/>
      <c r="AF70" s="2"/>
      <c r="AG70" s="2"/>
      <c r="AH70" s="2"/>
      <c r="AJ70" s="26"/>
      <c r="AM70" s="26"/>
      <c r="AN70" s="26"/>
      <c r="AO70" s="26"/>
      <c r="AP70" s="26"/>
      <c r="AS70" s="2"/>
      <c r="AT70" s="19" t="str">
        <f t="shared" si="23"/>
        <v/>
      </c>
      <c r="AU70" s="28">
        <f t="shared" si="24"/>
        <v>0</v>
      </c>
      <c r="AW70" s="19" t="str">
        <f>AT$22</f>
        <v/>
      </c>
      <c r="AX70" s="29">
        <f>AU$22</f>
        <v>0</v>
      </c>
      <c r="AY70" s="99" t="str">
        <f t="shared" si="2"/>
        <v/>
      </c>
      <c r="AZ70" s="2"/>
      <c r="BA70" s="2"/>
      <c r="BB70" s="2"/>
      <c r="BC70" s="2"/>
    </row>
    <row r="71" spans="1:55" s="1" customFormat="1" ht="20.25" customHeight="1" x14ac:dyDescent="0.25">
      <c r="A71" s="62"/>
      <c r="B71" s="91" t="str">
        <f t="shared" si="15"/>
        <v/>
      </c>
      <c r="C71" s="87"/>
      <c r="D71" s="88" t="str">
        <f t="shared" si="16"/>
        <v/>
      </c>
      <c r="E71" s="91" t="str">
        <f t="shared" si="17"/>
        <v/>
      </c>
      <c r="F71" s="87"/>
      <c r="G71" s="88" t="str">
        <f t="shared" si="18"/>
        <v/>
      </c>
      <c r="H71" s="86" t="str">
        <f t="shared" si="19"/>
        <v/>
      </c>
      <c r="I71" s="87"/>
      <c r="J71" s="88" t="str">
        <f t="shared" si="20"/>
        <v/>
      </c>
      <c r="K71" s="91" t="str">
        <f t="shared" si="21"/>
        <v/>
      </c>
      <c r="L71" s="87"/>
      <c r="M71" s="88" t="str">
        <f t="shared" si="22"/>
        <v/>
      </c>
      <c r="N71" s="76"/>
      <c r="O71" s="66"/>
      <c r="P71" s="62"/>
      <c r="Q71" s="59" t="s">
        <v>110</v>
      </c>
      <c r="R71" s="27" t="str">
        <f>$H$39</f>
        <v/>
      </c>
      <c r="S71" s="29">
        <f>$I$39</f>
        <v>0</v>
      </c>
      <c r="T71" s="27" t="str">
        <f>$R$111</f>
        <v/>
      </c>
      <c r="U71" s="27">
        <f>$S$111</f>
        <v>0</v>
      </c>
      <c r="V71" s="17">
        <f>$S$112</f>
        <v>0</v>
      </c>
      <c r="W71" s="29">
        <f>$S$113</f>
        <v>0</v>
      </c>
      <c r="X71" s="17"/>
      <c r="Z71" s="2"/>
      <c r="AA71" s="2"/>
      <c r="AD71" s="2"/>
      <c r="AE71" s="2"/>
      <c r="AF71" s="2"/>
      <c r="AG71" s="2"/>
      <c r="AH71" s="2"/>
      <c r="AJ71" s="26"/>
      <c r="AM71" s="26"/>
      <c r="AN71" s="26"/>
      <c r="AO71" s="26"/>
      <c r="AP71" s="26"/>
      <c r="AS71" s="2"/>
      <c r="AT71" s="19" t="str">
        <f t="shared" si="23"/>
        <v/>
      </c>
      <c r="AU71" s="28">
        <f t="shared" si="24"/>
        <v>0</v>
      </c>
      <c r="AW71" s="19" t="str">
        <f>AT$42</f>
        <v/>
      </c>
      <c r="AX71" s="29">
        <f>AU$42</f>
        <v>0</v>
      </c>
      <c r="AY71" s="99" t="str">
        <f t="shared" ref="AY71:AY85" si="25">IF(AW71="","",1)</f>
        <v/>
      </c>
      <c r="AZ71" s="2"/>
      <c r="BA71" s="2"/>
      <c r="BB71" s="2"/>
      <c r="BC71" s="2"/>
    </row>
    <row r="72" spans="1:55" s="1" customFormat="1" ht="20.25" customHeight="1" x14ac:dyDescent="0.25">
      <c r="A72" s="62"/>
      <c r="B72" s="91" t="str">
        <f t="shared" si="15"/>
        <v/>
      </c>
      <c r="C72" s="87"/>
      <c r="D72" s="88" t="str">
        <f t="shared" si="16"/>
        <v/>
      </c>
      <c r="E72" s="91" t="str">
        <f t="shared" si="17"/>
        <v/>
      </c>
      <c r="F72" s="87"/>
      <c r="G72" s="88" t="str">
        <f t="shared" si="18"/>
        <v/>
      </c>
      <c r="H72" s="86" t="str">
        <f t="shared" si="19"/>
        <v/>
      </c>
      <c r="I72" s="87"/>
      <c r="J72" s="88" t="str">
        <f t="shared" si="20"/>
        <v/>
      </c>
      <c r="K72" s="91" t="str">
        <f t="shared" si="21"/>
        <v/>
      </c>
      <c r="L72" s="87"/>
      <c r="M72" s="88" t="str">
        <f t="shared" si="22"/>
        <v/>
      </c>
      <c r="N72" s="76"/>
      <c r="O72" s="66"/>
      <c r="P72" s="62"/>
      <c r="Q72" s="59" t="s">
        <v>111</v>
      </c>
      <c r="R72" s="27" t="str">
        <f>$K$64</f>
        <v/>
      </c>
      <c r="S72" s="29">
        <f>$L$64</f>
        <v>0</v>
      </c>
      <c r="T72" s="27" t="str">
        <f>$R$144</f>
        <v/>
      </c>
      <c r="U72" s="27">
        <f>$S$144</f>
        <v>0</v>
      </c>
      <c r="V72" s="17">
        <f>$S$145</f>
        <v>0</v>
      </c>
      <c r="W72" s="29">
        <f>$S$146</f>
        <v>0</v>
      </c>
      <c r="X72" s="17"/>
      <c r="Z72" s="2"/>
      <c r="AA72" s="2"/>
      <c r="AD72" s="2"/>
      <c r="AE72" s="2"/>
      <c r="AF72" s="2"/>
      <c r="AG72" s="2"/>
      <c r="AH72" s="2"/>
      <c r="AJ72" s="26"/>
      <c r="AM72" s="26"/>
      <c r="AN72" s="26"/>
      <c r="AO72" s="26"/>
      <c r="AP72" s="26"/>
      <c r="AS72" s="2"/>
      <c r="AT72" s="19" t="str">
        <f t="shared" si="23"/>
        <v/>
      </c>
      <c r="AU72" s="28">
        <f t="shared" si="24"/>
        <v>0</v>
      </c>
      <c r="AW72" s="19" t="str">
        <f>AT$62</f>
        <v/>
      </c>
      <c r="AX72" s="29">
        <f>AU$62</f>
        <v>0</v>
      </c>
      <c r="AY72" s="99" t="str">
        <f t="shared" si="25"/>
        <v/>
      </c>
      <c r="AZ72" s="2"/>
      <c r="BA72" s="2"/>
      <c r="BB72" s="2"/>
      <c r="BC72" s="2"/>
    </row>
    <row r="73" spans="1:55" s="1" customFormat="1" ht="20.25" customHeight="1" x14ac:dyDescent="0.25">
      <c r="A73" s="62"/>
      <c r="B73" s="91" t="str">
        <f t="shared" si="15"/>
        <v/>
      </c>
      <c r="C73" s="87"/>
      <c r="D73" s="88" t="str">
        <f t="shared" si="16"/>
        <v/>
      </c>
      <c r="E73" s="91" t="str">
        <f t="shared" si="17"/>
        <v/>
      </c>
      <c r="F73" s="87"/>
      <c r="G73" s="88" t="str">
        <f t="shared" si="18"/>
        <v/>
      </c>
      <c r="H73" s="86" t="str">
        <f t="shared" si="19"/>
        <v/>
      </c>
      <c r="I73" s="87"/>
      <c r="J73" s="88" t="str">
        <f t="shared" si="20"/>
        <v/>
      </c>
      <c r="K73" s="91" t="str">
        <f t="shared" si="21"/>
        <v/>
      </c>
      <c r="L73" s="87"/>
      <c r="M73" s="88" t="str">
        <f t="shared" si="22"/>
        <v/>
      </c>
      <c r="N73" s="76"/>
      <c r="O73" s="66"/>
      <c r="P73" s="62"/>
      <c r="Q73" s="59" t="s">
        <v>112</v>
      </c>
      <c r="R73" s="27" t="str">
        <f>$K$39</f>
        <v/>
      </c>
      <c r="S73" s="29">
        <f>$L$39</f>
        <v>0</v>
      </c>
      <c r="T73" s="27" t="str">
        <f>$R$123</f>
        <v/>
      </c>
      <c r="U73" s="27">
        <f>$S$123</f>
        <v>0</v>
      </c>
      <c r="V73" s="17">
        <f>$S$124</f>
        <v>0</v>
      </c>
      <c r="W73" s="29">
        <f>$S$125</f>
        <v>0</v>
      </c>
      <c r="X73" s="17"/>
      <c r="Z73" s="2"/>
      <c r="AA73" s="2"/>
      <c r="AD73" s="2"/>
      <c r="AE73" s="2"/>
      <c r="AF73" s="2"/>
      <c r="AG73" s="2"/>
      <c r="AH73" s="2"/>
      <c r="AJ73" s="26"/>
      <c r="AM73" s="26"/>
      <c r="AN73" s="26"/>
      <c r="AO73" s="26"/>
      <c r="AP73" s="26"/>
      <c r="AS73" s="2"/>
      <c r="AT73" s="19" t="str">
        <f t="shared" si="23"/>
        <v/>
      </c>
      <c r="AU73" s="28">
        <f t="shared" si="24"/>
        <v>0</v>
      </c>
      <c r="AW73" s="19" t="str">
        <f>AT$82</f>
        <v/>
      </c>
      <c r="AX73" s="29">
        <f>AU$82</f>
        <v>0</v>
      </c>
      <c r="AY73" s="99" t="str">
        <f t="shared" si="25"/>
        <v/>
      </c>
      <c r="AZ73" s="2"/>
      <c r="BA73" s="2"/>
      <c r="BB73" s="2"/>
      <c r="BC73" s="2"/>
    </row>
    <row r="74" spans="1:55" s="1" customFormat="1" ht="20.25" customHeight="1" x14ac:dyDescent="0.25">
      <c r="A74" s="62"/>
      <c r="B74" s="92" t="str">
        <f t="shared" si="15"/>
        <v/>
      </c>
      <c r="C74" s="87"/>
      <c r="D74" s="90" t="str">
        <f t="shared" si="16"/>
        <v/>
      </c>
      <c r="E74" s="92" t="str">
        <f t="shared" si="17"/>
        <v/>
      </c>
      <c r="F74" s="87"/>
      <c r="G74" s="90" t="str">
        <f t="shared" si="18"/>
        <v/>
      </c>
      <c r="H74" s="89" t="str">
        <f t="shared" si="19"/>
        <v/>
      </c>
      <c r="I74" s="87"/>
      <c r="J74" s="90" t="str">
        <f t="shared" si="20"/>
        <v/>
      </c>
      <c r="K74" s="92" t="str">
        <f t="shared" si="21"/>
        <v/>
      </c>
      <c r="L74" s="87"/>
      <c r="M74" s="90" t="str">
        <f t="shared" si="22"/>
        <v/>
      </c>
      <c r="N74" s="76" t="s">
        <v>6</v>
      </c>
      <c r="O74" s="66"/>
      <c r="P74" s="62"/>
      <c r="Q74" s="59" t="s">
        <v>113</v>
      </c>
      <c r="R74" s="27" t="str">
        <f>$H$14</f>
        <v/>
      </c>
      <c r="S74" s="29">
        <f>$I$14</f>
        <v>0</v>
      </c>
      <c r="T74" s="27" t="str">
        <f>$R$90</f>
        <v/>
      </c>
      <c r="U74" s="27">
        <f>$S$90</f>
        <v>0</v>
      </c>
      <c r="V74" s="17">
        <f>$S$91</f>
        <v>0</v>
      </c>
      <c r="W74" s="29">
        <f>$S$92</f>
        <v>0</v>
      </c>
      <c r="X74" s="17"/>
      <c r="Z74" s="2"/>
      <c r="AA74" s="2"/>
      <c r="AD74" s="2"/>
      <c r="AE74" s="2"/>
      <c r="AF74" s="2"/>
      <c r="AG74" s="2"/>
      <c r="AH74" s="2"/>
      <c r="AJ74" s="26"/>
      <c r="AM74" s="26"/>
      <c r="AN74" s="26"/>
      <c r="AO74" s="26"/>
      <c r="AP74" s="26"/>
      <c r="AS74" s="2"/>
      <c r="AT74" s="19" t="str">
        <f t="shared" si="23"/>
        <v/>
      </c>
      <c r="AU74" s="28">
        <f t="shared" si="24"/>
        <v>0</v>
      </c>
      <c r="AW74" s="19" t="str">
        <f>AT$23</f>
        <v/>
      </c>
      <c r="AX74" s="29">
        <f>AU$23</f>
        <v>0</v>
      </c>
      <c r="AY74" s="99" t="str">
        <f t="shared" si="25"/>
        <v/>
      </c>
      <c r="AZ74" s="2"/>
      <c r="BA74" s="2"/>
      <c r="BB74" s="2"/>
      <c r="BC74" s="2"/>
    </row>
    <row r="75" spans="1:55" s="1" customFormat="1" ht="20.25" customHeight="1" thickBot="1" x14ac:dyDescent="0.3">
      <c r="A75" s="62"/>
      <c r="B75" s="62"/>
      <c r="C75" s="62"/>
      <c r="D75" s="62"/>
      <c r="E75" s="62"/>
      <c r="F75" s="62"/>
      <c r="G75" s="62"/>
      <c r="H75" s="62"/>
      <c r="I75" s="62"/>
      <c r="J75" s="62"/>
      <c r="K75" s="62"/>
      <c r="L75" s="62"/>
      <c r="M75" s="62"/>
      <c r="N75" s="62"/>
      <c r="O75" s="62">
        <v>1</v>
      </c>
      <c r="P75" s="62"/>
      <c r="Q75" s="59" t="s">
        <v>114</v>
      </c>
      <c r="R75" s="27" t="str">
        <f>$E$64</f>
        <v/>
      </c>
      <c r="S75" s="29">
        <f>$F$64</f>
        <v>0</v>
      </c>
      <c r="T75" s="27" t="str">
        <f>$R$114</f>
        <v/>
      </c>
      <c r="U75" s="27">
        <f>$S$114</f>
        <v>0</v>
      </c>
      <c r="V75" s="17">
        <f>$S$115</f>
        <v>0</v>
      </c>
      <c r="W75" s="29">
        <f>$S$116</f>
        <v>0</v>
      </c>
      <c r="X75" s="17"/>
      <c r="Z75" s="2"/>
      <c r="AA75" s="2"/>
      <c r="AD75" s="2"/>
      <c r="AE75" s="2"/>
      <c r="AF75" s="2"/>
      <c r="AG75" s="2"/>
      <c r="AH75" s="2"/>
      <c r="AJ75" s="26"/>
      <c r="AM75" s="26"/>
      <c r="AN75" s="26"/>
      <c r="AO75" s="26"/>
      <c r="AP75" s="26"/>
      <c r="AS75" s="2"/>
      <c r="AT75" s="19" t="str">
        <f t="shared" si="23"/>
        <v/>
      </c>
      <c r="AU75" s="28">
        <f t="shared" si="24"/>
        <v>0</v>
      </c>
      <c r="AW75" s="19" t="str">
        <f>AT$43</f>
        <v/>
      </c>
      <c r="AX75" s="29">
        <f>AU$43</f>
        <v>0</v>
      </c>
      <c r="AY75" s="99" t="str">
        <f t="shared" si="25"/>
        <v/>
      </c>
      <c r="AZ75" s="2"/>
      <c r="BA75" s="2"/>
      <c r="BB75" s="2"/>
      <c r="BC75" s="2"/>
    </row>
    <row r="76" spans="1:55" s="1" customFormat="1" ht="20.25" customHeight="1" thickTop="1" x14ac:dyDescent="0.25">
      <c r="A76" s="62"/>
      <c r="B76" s="72"/>
      <c r="C76" s="72"/>
      <c r="D76" s="72"/>
      <c r="E76" s="72"/>
      <c r="F76" s="72"/>
      <c r="G76" s="72"/>
      <c r="H76" s="72"/>
      <c r="I76" s="72"/>
      <c r="J76" s="72"/>
      <c r="K76" s="72"/>
      <c r="L76" s="72"/>
      <c r="M76" s="72"/>
      <c r="N76" s="76"/>
      <c r="O76" s="66"/>
      <c r="P76" s="62"/>
      <c r="Q76" s="59" t="s">
        <v>115</v>
      </c>
      <c r="R76" s="27" t="str">
        <f>$B$39</f>
        <v/>
      </c>
      <c r="S76" s="29">
        <f>$C$39</f>
        <v>0</v>
      </c>
      <c r="T76" s="27" t="str">
        <f>$R$129</f>
        <v/>
      </c>
      <c r="U76" s="27">
        <f>$S$129</f>
        <v>0</v>
      </c>
      <c r="V76" s="17">
        <f>$S$130</f>
        <v>0</v>
      </c>
      <c r="W76" s="29">
        <f>$S$131</f>
        <v>0</v>
      </c>
      <c r="X76" s="17"/>
      <c r="Z76" s="2"/>
      <c r="AA76" s="2"/>
      <c r="AD76" s="2"/>
      <c r="AE76" s="2"/>
      <c r="AF76" s="2"/>
      <c r="AG76" s="2"/>
      <c r="AH76" s="2"/>
      <c r="AJ76" s="26"/>
      <c r="AM76" s="26"/>
      <c r="AN76" s="26"/>
      <c r="AO76" s="26"/>
      <c r="AP76" s="26"/>
      <c r="AS76" s="2"/>
      <c r="AT76" s="19" t="str">
        <f t="shared" si="23"/>
        <v/>
      </c>
      <c r="AU76" s="28">
        <f t="shared" si="24"/>
        <v>0</v>
      </c>
      <c r="AW76" s="19" t="str">
        <f>AT$63</f>
        <v/>
      </c>
      <c r="AX76" s="29">
        <f>AU$63</f>
        <v>0</v>
      </c>
      <c r="AY76" s="99" t="str">
        <f t="shared" si="25"/>
        <v/>
      </c>
      <c r="AZ76" s="2"/>
      <c r="BA76" s="2"/>
      <c r="BB76" s="2"/>
      <c r="BC76" s="2"/>
    </row>
    <row r="77" spans="1:55" s="1" customFormat="1" ht="20.25" customHeight="1" x14ac:dyDescent="0.25">
      <c r="A77" s="62"/>
      <c r="B77" s="63"/>
      <c r="C77" s="63"/>
      <c r="D77" s="63"/>
      <c r="E77" s="63"/>
      <c r="F77" s="63"/>
      <c r="G77" s="63"/>
      <c r="H77" s="63"/>
      <c r="I77" s="63"/>
      <c r="J77" s="63"/>
      <c r="K77" s="63"/>
      <c r="L77" s="63"/>
      <c r="M77" s="63"/>
      <c r="N77" s="76"/>
      <c r="O77" s="66"/>
      <c r="P77" s="62"/>
      <c r="Q77" s="59" t="s">
        <v>116</v>
      </c>
      <c r="R77" s="27" t="str">
        <f>$K$14</f>
        <v/>
      </c>
      <c r="S77" s="29">
        <f>$L$14</f>
        <v>0</v>
      </c>
      <c r="T77" s="27" t="str">
        <f>$R$126</f>
        <v/>
      </c>
      <c r="U77" s="27">
        <f>$S$126</f>
        <v>0</v>
      </c>
      <c r="V77" s="17">
        <f>$S$127</f>
        <v>0</v>
      </c>
      <c r="W77" s="29">
        <f>$S$128</f>
        <v>0</v>
      </c>
      <c r="X77" s="17"/>
      <c r="Z77" s="2"/>
      <c r="AA77" s="2"/>
      <c r="AD77" s="2"/>
      <c r="AE77" s="2"/>
      <c r="AF77" s="2"/>
      <c r="AG77" s="2"/>
      <c r="AH77" s="2"/>
      <c r="AJ77" s="26"/>
      <c r="AM77" s="26"/>
      <c r="AN77" s="26"/>
      <c r="AO77" s="26"/>
      <c r="AP77" s="26"/>
      <c r="AS77" s="2"/>
      <c r="AT77" s="19" t="str">
        <f t="shared" si="23"/>
        <v/>
      </c>
      <c r="AU77" s="28">
        <f t="shared" si="24"/>
        <v>0</v>
      </c>
      <c r="AW77" s="19" t="str">
        <f>AT$83</f>
        <v/>
      </c>
      <c r="AX77" s="29">
        <f>AU$83</f>
        <v>0</v>
      </c>
      <c r="AY77" s="99" t="str">
        <f t="shared" si="25"/>
        <v/>
      </c>
      <c r="AZ77" s="2"/>
      <c r="BA77" s="2"/>
      <c r="BB77" s="2"/>
      <c r="BC77" s="2"/>
    </row>
    <row r="78" spans="1:55" s="1" customFormat="1" ht="20.25" customHeight="1" x14ac:dyDescent="0.25">
      <c r="A78" s="62"/>
      <c r="B78" s="63"/>
      <c r="C78" s="63"/>
      <c r="D78" s="63"/>
      <c r="E78" s="63"/>
      <c r="F78" s="63"/>
      <c r="G78" s="63"/>
      <c r="H78" s="63"/>
      <c r="I78" s="63"/>
      <c r="J78" s="63"/>
      <c r="K78" s="63"/>
      <c r="L78" s="63"/>
      <c r="M78" s="63"/>
      <c r="N78" s="76"/>
      <c r="O78" s="66"/>
      <c r="P78" s="62"/>
      <c r="Q78" s="59" t="s">
        <v>117</v>
      </c>
      <c r="R78" s="27" t="str">
        <f>$E$40</f>
        <v/>
      </c>
      <c r="S78" s="29">
        <f>$F$40</f>
        <v>0</v>
      </c>
      <c r="T78" s="27" t="str">
        <f>$R$108</f>
        <v/>
      </c>
      <c r="U78" s="27">
        <f>$S$108</f>
        <v>0</v>
      </c>
      <c r="V78" s="17">
        <f>$S$109</f>
        <v>0</v>
      </c>
      <c r="W78" s="29">
        <f>$S$110</f>
        <v>0</v>
      </c>
      <c r="X78" s="17"/>
      <c r="Z78" s="2"/>
      <c r="AA78" s="2"/>
      <c r="AD78" s="2"/>
      <c r="AE78" s="2"/>
      <c r="AF78" s="2"/>
      <c r="AG78" s="2"/>
      <c r="AH78" s="2"/>
      <c r="AJ78" s="26"/>
      <c r="AM78" s="26"/>
      <c r="AN78" s="26"/>
      <c r="AO78" s="26"/>
      <c r="AP78" s="26"/>
      <c r="AS78" s="2"/>
      <c r="AT78" s="19" t="str">
        <f t="shared" si="23"/>
        <v/>
      </c>
      <c r="AU78" s="28">
        <f t="shared" si="24"/>
        <v>0</v>
      </c>
      <c r="AW78" s="19" t="str">
        <f>AT$24</f>
        <v/>
      </c>
      <c r="AX78" s="29">
        <f>AU$24</f>
        <v>0</v>
      </c>
      <c r="AY78" s="99" t="str">
        <f t="shared" si="25"/>
        <v/>
      </c>
      <c r="AZ78" s="2"/>
      <c r="BA78" s="2"/>
      <c r="BB78" s="2"/>
      <c r="BC78" s="2"/>
    </row>
    <row r="79" spans="1:55" s="1" customFormat="1" ht="20.25" customHeight="1" x14ac:dyDescent="0.25">
      <c r="A79" s="62"/>
      <c r="B79" s="63"/>
      <c r="C79" s="63"/>
      <c r="D79" s="63"/>
      <c r="E79" s="63"/>
      <c r="F79" s="63"/>
      <c r="G79" s="63"/>
      <c r="H79" s="63"/>
      <c r="I79" s="63"/>
      <c r="J79" s="63"/>
      <c r="K79" s="63"/>
      <c r="L79" s="63"/>
      <c r="M79" s="63"/>
      <c r="N79" s="76"/>
      <c r="O79" s="66"/>
      <c r="P79" s="62"/>
      <c r="Q79" s="59" t="s">
        <v>118</v>
      </c>
      <c r="R79" s="27" t="str">
        <f>$B$15</f>
        <v/>
      </c>
      <c r="S79" s="29">
        <f>$C$15</f>
        <v>0</v>
      </c>
      <c r="T79" s="27" t="str">
        <f>$R$141</f>
        <v/>
      </c>
      <c r="U79" s="27">
        <f>$S$141</f>
        <v>0</v>
      </c>
      <c r="V79" s="17">
        <f>$S$142</f>
        <v>0</v>
      </c>
      <c r="W79" s="29">
        <f>$S$143</f>
        <v>0</v>
      </c>
      <c r="X79" s="17"/>
      <c r="Z79" s="2"/>
      <c r="AA79" s="2"/>
      <c r="AD79" s="2"/>
      <c r="AE79" s="2"/>
      <c r="AF79" s="2"/>
      <c r="AG79" s="2"/>
      <c r="AH79" s="2"/>
      <c r="AJ79" s="26"/>
      <c r="AM79" s="26"/>
      <c r="AN79" s="26"/>
      <c r="AO79" s="26"/>
      <c r="AP79" s="26"/>
      <c r="AS79" s="2"/>
      <c r="AT79" s="19" t="str">
        <f t="shared" si="23"/>
        <v/>
      </c>
      <c r="AU79" s="28">
        <f t="shared" si="24"/>
        <v>0</v>
      </c>
      <c r="AW79" s="19" t="str">
        <f>AT$44</f>
        <v/>
      </c>
      <c r="AX79" s="29">
        <f>AU$44</f>
        <v>0</v>
      </c>
      <c r="AY79" s="99" t="str">
        <f t="shared" si="25"/>
        <v/>
      </c>
      <c r="AZ79" s="2"/>
      <c r="BA79" s="2"/>
      <c r="BB79" s="2"/>
      <c r="BC79" s="2"/>
    </row>
    <row r="80" spans="1:55" s="1" customFormat="1" ht="20.25" customHeight="1" x14ac:dyDescent="0.25">
      <c r="A80" s="62"/>
      <c r="B80" s="63"/>
      <c r="C80" s="63"/>
      <c r="D80" s="63"/>
      <c r="E80" s="63"/>
      <c r="F80" s="63"/>
      <c r="G80" s="63"/>
      <c r="H80" s="63"/>
      <c r="I80" s="63"/>
      <c r="J80" s="63"/>
      <c r="K80" s="63"/>
      <c r="L80" s="63"/>
      <c r="M80" s="63"/>
      <c r="N80" s="76"/>
      <c r="O80" s="66"/>
      <c r="P80" s="62"/>
      <c r="Q80" s="59" t="s">
        <v>119</v>
      </c>
      <c r="R80" s="27" t="str">
        <f>$H$65</f>
        <v/>
      </c>
      <c r="S80" s="29">
        <f>$I$65</f>
        <v>0</v>
      </c>
      <c r="T80" s="27" t="str">
        <f>$R$147</f>
        <v/>
      </c>
      <c r="U80" s="27">
        <f>$S$147</f>
        <v>0</v>
      </c>
      <c r="V80" s="17">
        <f>$S$148</f>
        <v>0</v>
      </c>
      <c r="W80" s="29">
        <f>$S$149</f>
        <v>0</v>
      </c>
      <c r="X80" s="17"/>
      <c r="Z80" s="2"/>
      <c r="AA80" s="2"/>
      <c r="AD80" s="2"/>
      <c r="AE80" s="2"/>
      <c r="AF80" s="2"/>
      <c r="AG80" s="2"/>
      <c r="AH80" s="2"/>
      <c r="AJ80" s="26"/>
      <c r="AM80" s="26"/>
      <c r="AN80" s="26"/>
      <c r="AO80" s="26"/>
      <c r="AP80" s="26"/>
      <c r="AS80" s="2"/>
      <c r="AT80" s="19" t="str">
        <f t="shared" si="23"/>
        <v/>
      </c>
      <c r="AU80" s="28">
        <f t="shared" si="24"/>
        <v>0</v>
      </c>
      <c r="AW80" s="19" t="str">
        <f>AT$64</f>
        <v/>
      </c>
      <c r="AX80" s="29">
        <f>AU$64</f>
        <v>0</v>
      </c>
      <c r="AY80" s="99" t="str">
        <f t="shared" si="25"/>
        <v/>
      </c>
      <c r="AZ80" s="2"/>
      <c r="BA80" s="2"/>
      <c r="BB80" s="2"/>
      <c r="BC80" s="2"/>
    </row>
    <row r="81" spans="1:55" s="1" customFormat="1" ht="20.25" customHeight="1" x14ac:dyDescent="0.25">
      <c r="A81" s="62"/>
      <c r="B81" s="63"/>
      <c r="C81" s="63"/>
      <c r="D81" s="63"/>
      <c r="E81" s="63"/>
      <c r="F81" s="63"/>
      <c r="G81" s="63"/>
      <c r="H81" s="63"/>
      <c r="I81" s="63"/>
      <c r="J81" s="63"/>
      <c r="K81" s="63"/>
      <c r="L81" s="63"/>
      <c r="M81" s="63"/>
      <c r="N81" s="76"/>
      <c r="O81" s="62"/>
      <c r="P81" s="62"/>
      <c r="Q81" s="59" t="s">
        <v>120</v>
      </c>
      <c r="R81" s="27" t="str">
        <f>$E$15</f>
        <v/>
      </c>
      <c r="S81" s="29">
        <f>$F$15</f>
        <v>0</v>
      </c>
      <c r="T81" s="27" t="str">
        <f>$R$135</f>
        <v/>
      </c>
      <c r="U81" s="27">
        <f>$S$135</f>
        <v>0</v>
      </c>
      <c r="V81" s="17">
        <f>$S$136</f>
        <v>0</v>
      </c>
      <c r="W81" s="29">
        <f>$S$137</f>
        <v>0</v>
      </c>
      <c r="X81" s="17"/>
      <c r="Z81" s="2"/>
      <c r="AA81" s="2"/>
      <c r="AD81" s="2"/>
      <c r="AE81" s="2"/>
      <c r="AF81" s="2"/>
      <c r="AG81" s="2"/>
      <c r="AH81" s="2"/>
      <c r="AJ81" s="26"/>
      <c r="AM81" s="26"/>
      <c r="AN81" s="26"/>
      <c r="AO81" s="26"/>
      <c r="AP81" s="26"/>
      <c r="AS81" s="2"/>
      <c r="AT81" s="19" t="str">
        <f t="shared" si="23"/>
        <v/>
      </c>
      <c r="AU81" s="28">
        <f t="shared" si="24"/>
        <v>0</v>
      </c>
      <c r="AW81" s="19" t="str">
        <f>AT$84</f>
        <v/>
      </c>
      <c r="AX81" s="29">
        <f>AU$84</f>
        <v>0</v>
      </c>
      <c r="AY81" s="99" t="str">
        <f t="shared" si="25"/>
        <v/>
      </c>
      <c r="AZ81" s="2"/>
      <c r="BA81" s="2"/>
      <c r="BB81" s="2"/>
      <c r="BC81" s="2"/>
    </row>
    <row r="82" spans="1:55" s="1" customFormat="1" ht="20.25" customHeight="1" x14ac:dyDescent="0.25">
      <c r="A82" s="62"/>
      <c r="B82" s="63"/>
      <c r="C82" s="63"/>
      <c r="D82" s="63"/>
      <c r="E82" s="63"/>
      <c r="F82" s="63"/>
      <c r="G82" s="63"/>
      <c r="H82" s="63"/>
      <c r="I82" s="63"/>
      <c r="J82" s="63"/>
      <c r="K82" s="63"/>
      <c r="L82" s="63"/>
      <c r="M82" s="63"/>
      <c r="N82" s="76"/>
      <c r="O82" s="66"/>
      <c r="P82" s="62"/>
      <c r="Q82" s="59" t="s">
        <v>121</v>
      </c>
      <c r="R82" s="27" t="str">
        <f>$B$65</f>
        <v/>
      </c>
      <c r="S82" s="29">
        <f>$C$65</f>
        <v>0</v>
      </c>
      <c r="T82" s="27" t="str">
        <f>$R$138</f>
        <v/>
      </c>
      <c r="U82" s="27">
        <f>$S$138</f>
        <v>0</v>
      </c>
      <c r="V82" s="17">
        <f>$S$139</f>
        <v>0</v>
      </c>
      <c r="W82" s="29">
        <f>$S$140</f>
        <v>0</v>
      </c>
      <c r="X82" s="17"/>
      <c r="Z82" s="2"/>
      <c r="AA82" s="2"/>
      <c r="AD82" s="2"/>
      <c r="AE82" s="2"/>
      <c r="AF82" s="2"/>
      <c r="AG82" s="2"/>
      <c r="AH82" s="2"/>
      <c r="AJ82" s="26"/>
      <c r="AM82" s="26"/>
      <c r="AN82" s="26"/>
      <c r="AO82" s="26"/>
      <c r="AP82" s="26"/>
      <c r="AS82" s="2"/>
      <c r="AT82" s="19" t="str">
        <f t="shared" si="23"/>
        <v/>
      </c>
      <c r="AU82" s="28">
        <f t="shared" si="24"/>
        <v>0</v>
      </c>
      <c r="AW82" s="19" t="str">
        <f>AT$25</f>
        <v/>
      </c>
      <c r="AX82" s="29">
        <f>AU$25</f>
        <v>0</v>
      </c>
      <c r="AY82" s="99" t="str">
        <f t="shared" si="25"/>
        <v/>
      </c>
      <c r="AZ82" s="2"/>
      <c r="BA82" s="2"/>
      <c r="BB82" s="2"/>
      <c r="BC82" s="2"/>
    </row>
    <row r="83" spans="1:55" s="1" customFormat="1" ht="20.25" customHeight="1" x14ac:dyDescent="0.25">
      <c r="A83" s="62"/>
      <c r="B83" s="63"/>
      <c r="C83" s="63"/>
      <c r="D83" s="63"/>
      <c r="E83" s="63"/>
      <c r="F83" s="63"/>
      <c r="G83" s="63"/>
      <c r="H83" s="63"/>
      <c r="I83" s="63"/>
      <c r="J83" s="63"/>
      <c r="K83" s="63"/>
      <c r="L83" s="63"/>
      <c r="M83" s="63"/>
      <c r="N83" s="76"/>
      <c r="O83" s="66"/>
      <c r="P83" s="62"/>
      <c r="Q83" s="59" t="s">
        <v>122</v>
      </c>
      <c r="R83" s="27" t="str">
        <f>$H$40</f>
        <v/>
      </c>
      <c r="S83" s="29">
        <f>$I$40</f>
        <v>0</v>
      </c>
      <c r="T83" s="27" t="str">
        <f>$R$159</f>
        <v/>
      </c>
      <c r="U83" s="27">
        <f>$S$159</f>
        <v>0</v>
      </c>
      <c r="V83" s="17">
        <f>$S$160</f>
        <v>0</v>
      </c>
      <c r="W83" s="29">
        <f>$S$161</f>
        <v>0</v>
      </c>
      <c r="X83" s="17"/>
      <c r="Z83" s="2"/>
      <c r="AA83" s="2"/>
      <c r="AD83" s="2"/>
      <c r="AE83" s="2"/>
      <c r="AF83" s="2"/>
      <c r="AG83" s="2"/>
      <c r="AH83" s="2"/>
      <c r="AJ83" s="26"/>
      <c r="AM83" s="26"/>
      <c r="AN83" s="26"/>
      <c r="AO83" s="26"/>
      <c r="AP83" s="26"/>
      <c r="AS83" s="2"/>
      <c r="AT83" s="19" t="str">
        <f t="shared" si="23"/>
        <v/>
      </c>
      <c r="AU83" s="28">
        <f t="shared" si="24"/>
        <v>0</v>
      </c>
      <c r="AW83" s="19" t="str">
        <f>AT$45</f>
        <v/>
      </c>
      <c r="AX83" s="29">
        <f>AU$45</f>
        <v>0</v>
      </c>
      <c r="AY83" s="99" t="str">
        <f t="shared" si="25"/>
        <v/>
      </c>
      <c r="AZ83" s="2"/>
      <c r="BA83" s="2"/>
      <c r="BB83" s="2"/>
      <c r="BC83" s="2"/>
    </row>
    <row r="84" spans="1:55" s="1" customFormat="1" ht="20.25" customHeight="1" x14ac:dyDescent="0.25">
      <c r="A84" s="62"/>
      <c r="B84" s="63"/>
      <c r="C84" s="63"/>
      <c r="D84" s="63"/>
      <c r="E84" s="63"/>
      <c r="F84" s="63"/>
      <c r="G84" s="63"/>
      <c r="H84" s="63"/>
      <c r="I84" s="63"/>
      <c r="J84" s="63"/>
      <c r="K84" s="63"/>
      <c r="L84" s="63"/>
      <c r="M84" s="63"/>
      <c r="N84" s="76"/>
      <c r="O84" s="66"/>
      <c r="P84" s="62"/>
      <c r="Q84" s="59" t="s">
        <v>123</v>
      </c>
      <c r="R84" s="27" t="str">
        <f>$K$65</f>
        <v/>
      </c>
      <c r="S84" s="29">
        <f>$L$65</f>
        <v>0</v>
      </c>
      <c r="T84" s="27" t="str">
        <f>$R$156</f>
        <v/>
      </c>
      <c r="U84" s="27">
        <f>$S$156</f>
        <v>0</v>
      </c>
      <c r="V84" s="17">
        <f>$S$157</f>
        <v>0</v>
      </c>
      <c r="W84" s="29">
        <f>$S$158</f>
        <v>0</v>
      </c>
      <c r="X84" s="17"/>
      <c r="Z84" s="2"/>
      <c r="AA84" s="2"/>
      <c r="AD84" s="2"/>
      <c r="AE84" s="2"/>
      <c r="AF84" s="2"/>
      <c r="AG84" s="2"/>
      <c r="AH84" s="2"/>
      <c r="AJ84" s="26"/>
      <c r="AM84" s="26"/>
      <c r="AN84" s="26"/>
      <c r="AO84" s="26"/>
      <c r="AP84" s="26"/>
      <c r="AS84" s="2"/>
      <c r="AT84" s="19" t="str">
        <f t="shared" si="23"/>
        <v/>
      </c>
      <c r="AU84" s="28">
        <f t="shared" si="24"/>
        <v>0</v>
      </c>
      <c r="AW84" s="19" t="str">
        <f>AT$65</f>
        <v/>
      </c>
      <c r="AX84" s="29">
        <f>AU$65</f>
        <v>0</v>
      </c>
      <c r="AY84" s="99" t="str">
        <f t="shared" si="25"/>
        <v/>
      </c>
      <c r="AZ84" s="2"/>
      <c r="BA84" s="2"/>
      <c r="BB84" s="2"/>
      <c r="BC84" s="2"/>
    </row>
    <row r="85" spans="1:55" s="1" customFormat="1" ht="20.25" customHeight="1" x14ac:dyDescent="0.25">
      <c r="A85" s="62"/>
      <c r="B85" s="63"/>
      <c r="C85" s="63"/>
      <c r="D85" s="63"/>
      <c r="E85" s="63"/>
      <c r="F85" s="63"/>
      <c r="G85" s="63"/>
      <c r="H85" s="63"/>
      <c r="I85" s="63"/>
      <c r="J85" s="63"/>
      <c r="K85" s="63"/>
      <c r="L85" s="63"/>
      <c r="M85" s="63"/>
      <c r="N85" s="76"/>
      <c r="O85" s="66"/>
      <c r="P85" s="62"/>
      <c r="Q85" s="59" t="s">
        <v>124</v>
      </c>
      <c r="R85" s="27" t="str">
        <f>$K$40</f>
        <v/>
      </c>
      <c r="S85" s="29">
        <f>$L$40</f>
        <v>0</v>
      </c>
      <c r="T85" s="32" t="str">
        <f>$R$132</f>
        <v/>
      </c>
      <c r="U85" s="32">
        <f>$S$132</f>
        <v>0</v>
      </c>
      <c r="V85" s="61">
        <f>$S$133</f>
        <v>0</v>
      </c>
      <c r="W85" s="31">
        <f>$S$134</f>
        <v>0</v>
      </c>
      <c r="X85" s="17"/>
      <c r="Z85" s="2"/>
      <c r="AA85" s="2"/>
      <c r="AD85" s="2"/>
      <c r="AE85" s="2"/>
      <c r="AF85" s="2"/>
      <c r="AG85" s="2"/>
      <c r="AH85" s="2"/>
      <c r="AJ85" s="26"/>
      <c r="AM85" s="26"/>
      <c r="AN85" s="26"/>
      <c r="AO85" s="26"/>
      <c r="AP85" s="26"/>
      <c r="AS85" s="2"/>
      <c r="AT85" s="19" t="str">
        <f t="shared" si="23"/>
        <v/>
      </c>
      <c r="AU85" s="28">
        <f t="shared" si="24"/>
        <v>0</v>
      </c>
      <c r="AW85" s="19" t="str">
        <f>AT$85</f>
        <v/>
      </c>
      <c r="AX85" s="29">
        <f>AU$85</f>
        <v>0</v>
      </c>
      <c r="AY85" s="99" t="str">
        <f t="shared" si="25"/>
        <v/>
      </c>
      <c r="AZ85" s="2"/>
      <c r="BA85" s="2"/>
      <c r="BB85" s="2"/>
      <c r="BC85" s="2"/>
    </row>
    <row r="86" spans="1:55" s="1" customFormat="1" ht="20.25" customHeight="1" x14ac:dyDescent="0.25">
      <c r="B86"/>
      <c r="C86"/>
      <c r="D86"/>
      <c r="E86"/>
      <c r="F86"/>
      <c r="G86"/>
      <c r="H86"/>
      <c r="I86"/>
      <c r="J86"/>
      <c r="K86"/>
      <c r="L86"/>
      <c r="M86"/>
      <c r="N86"/>
      <c r="O86"/>
      <c r="P86"/>
      <c r="Q86"/>
      <c r="R86" s="27" t="str">
        <f>$H$15</f>
        <v/>
      </c>
      <c r="S86" s="29">
        <f>$I$15</f>
        <v>0</v>
      </c>
      <c r="T86" s="56"/>
      <c r="U86" s="17"/>
      <c r="V86" s="17"/>
      <c r="W86" s="17"/>
      <c r="X86" s="17"/>
      <c r="Z86" s="2"/>
      <c r="AA86" s="2"/>
      <c r="AD86" s="2"/>
      <c r="AE86" s="2"/>
      <c r="AF86" s="2"/>
      <c r="AG86" s="2"/>
      <c r="AH86" s="2"/>
      <c r="AM86" s="26"/>
      <c r="AN86" s="26"/>
      <c r="AO86" s="26"/>
      <c r="AP86" s="26"/>
      <c r="AS86" s="2"/>
      <c r="AT86" s="47"/>
      <c r="AU86" s="48"/>
      <c r="AW86" s="50"/>
      <c r="AX86" s="51"/>
      <c r="AY86" s="99"/>
      <c r="AZ86" s="2"/>
      <c r="BA86" s="2"/>
      <c r="BB86" s="2"/>
      <c r="BC86" s="2"/>
    </row>
    <row r="87" spans="1:55" s="1" customFormat="1" ht="20.25" customHeight="1" x14ac:dyDescent="0.25">
      <c r="B87"/>
      <c r="C87"/>
      <c r="D87"/>
      <c r="E87"/>
      <c r="F87"/>
      <c r="G87"/>
      <c r="H87"/>
      <c r="I87"/>
      <c r="J87"/>
      <c r="K87"/>
      <c r="L87"/>
      <c r="M87"/>
      <c r="N87"/>
      <c r="O87"/>
      <c r="P87"/>
      <c r="Q87"/>
      <c r="R87" s="27" t="str">
        <f>$E$65</f>
        <v/>
      </c>
      <c r="S87" s="29">
        <f>$F$65</f>
        <v>0</v>
      </c>
      <c r="T87" s="57"/>
      <c r="U87" s="17"/>
      <c r="V87" s="17"/>
      <c r="W87" s="17"/>
      <c r="X87" s="17"/>
      <c r="Z87" s="2"/>
      <c r="AA87" s="2"/>
      <c r="AD87" s="2"/>
      <c r="AE87" s="2"/>
      <c r="AF87" s="2"/>
      <c r="AG87" s="2"/>
      <c r="AH87" s="2"/>
      <c r="AM87" s="26"/>
      <c r="AN87" s="26"/>
      <c r="AO87" s="26"/>
      <c r="AP87" s="26"/>
      <c r="AT87" s="14"/>
      <c r="AU87" s="49"/>
      <c r="AW87" s="52"/>
      <c r="AX87" s="53"/>
      <c r="AY87" s="100"/>
      <c r="AZ87" s="2"/>
      <c r="BA87" s="2"/>
      <c r="BB87" s="2"/>
      <c r="BC87" s="2"/>
    </row>
    <row r="88" spans="1:55" s="1" customFormat="1" ht="20.25" customHeight="1" x14ac:dyDescent="0.25">
      <c r="B88"/>
      <c r="C88"/>
      <c r="D88"/>
      <c r="E88"/>
      <c r="F88"/>
      <c r="G88"/>
      <c r="H88"/>
      <c r="I88"/>
      <c r="J88"/>
      <c r="K88"/>
      <c r="L88"/>
      <c r="M88"/>
      <c r="N88"/>
      <c r="O88"/>
      <c r="P88"/>
      <c r="Q88"/>
      <c r="R88" s="27" t="str">
        <f>$K$15</f>
        <v/>
      </c>
      <c r="S88" s="29">
        <f>$L$15</f>
        <v>0</v>
      </c>
      <c r="T88" s="57"/>
      <c r="U88" s="17"/>
      <c r="V88" s="17"/>
      <c r="W88" s="17"/>
      <c r="X88" s="21"/>
      <c r="Y88" s="43"/>
      <c r="Z88" s="2"/>
      <c r="AA88" s="2"/>
      <c r="AD88" s="2"/>
      <c r="AE88" s="2"/>
      <c r="AF88" s="2"/>
      <c r="AG88" s="2"/>
      <c r="AH88" s="2"/>
      <c r="AM88" s="26"/>
      <c r="AN88" s="26"/>
      <c r="AO88" s="26"/>
      <c r="AP88" s="26"/>
      <c r="AT88" s="5"/>
      <c r="AW88" s="6"/>
      <c r="AX88" s="6"/>
      <c r="AY88" s="2"/>
      <c r="AZ88" s="2"/>
      <c r="BA88" s="2"/>
      <c r="BB88" s="2"/>
      <c r="BC88" s="2"/>
    </row>
    <row r="89" spans="1:55" s="1" customFormat="1" ht="20.25" customHeight="1" x14ac:dyDescent="0.25">
      <c r="B89"/>
      <c r="C89"/>
      <c r="D89"/>
      <c r="E89"/>
      <c r="F89"/>
      <c r="G89"/>
      <c r="H89"/>
      <c r="I89"/>
      <c r="J89"/>
      <c r="K89"/>
      <c r="L89"/>
      <c r="M89"/>
      <c r="N89"/>
      <c r="O89"/>
      <c r="P89"/>
      <c r="Q89"/>
      <c r="R89" s="27" t="str">
        <f>$B$40</f>
        <v/>
      </c>
      <c r="S89" s="29">
        <f>$C$40</f>
        <v>0</v>
      </c>
      <c r="T89" s="56"/>
      <c r="U89" s="17"/>
      <c r="V89" s="17"/>
      <c r="W89" s="17"/>
      <c r="X89" s="21"/>
      <c r="Y89" s="43"/>
      <c r="Z89" s="2"/>
      <c r="AA89" s="2"/>
      <c r="AD89" s="2"/>
      <c r="AE89" s="2"/>
      <c r="AF89" s="2"/>
      <c r="AG89" s="2"/>
      <c r="AH89" s="2"/>
      <c r="AL89" s="26"/>
      <c r="AM89" s="26"/>
      <c r="AN89" s="26"/>
      <c r="AO89" s="26"/>
      <c r="AP89" s="26"/>
      <c r="AT89" s="5"/>
      <c r="AW89" s="6"/>
      <c r="AX89" s="6"/>
      <c r="AY89" s="2"/>
      <c r="AZ89" s="2"/>
      <c r="BA89" s="2"/>
      <c r="BB89" s="2"/>
      <c r="BC89" s="2"/>
    </row>
    <row r="90" spans="1:55" s="1" customFormat="1" ht="20.25" customHeight="1" x14ac:dyDescent="0.25">
      <c r="B90"/>
      <c r="C90"/>
      <c r="D90"/>
      <c r="E90"/>
      <c r="F90"/>
      <c r="G90"/>
      <c r="H90"/>
      <c r="I90"/>
      <c r="J90"/>
      <c r="K90"/>
      <c r="L90"/>
      <c r="M90"/>
      <c r="N90"/>
      <c r="O90"/>
      <c r="P90"/>
      <c r="Q90"/>
      <c r="R90" s="27" t="str">
        <f>$H$66</f>
        <v/>
      </c>
      <c r="S90" s="29">
        <f>$I$66</f>
        <v>0</v>
      </c>
      <c r="T90" s="57"/>
      <c r="U90" s="4"/>
      <c r="V90" s="4"/>
      <c r="W90" s="17"/>
      <c r="X90" s="17"/>
      <c r="Z90" s="2"/>
      <c r="AA90" s="2"/>
      <c r="AD90" s="2"/>
      <c r="AE90" s="2"/>
      <c r="AF90" s="2"/>
      <c r="AG90" s="2"/>
      <c r="AH90" s="2"/>
      <c r="AL90" s="26"/>
      <c r="AM90" s="26"/>
      <c r="AN90" s="26"/>
      <c r="AO90" s="26"/>
      <c r="AP90" s="26"/>
      <c r="AT90" s="5"/>
      <c r="AW90" s="6"/>
      <c r="AX90" s="6"/>
      <c r="AY90" s="2"/>
      <c r="AZ90" s="2"/>
      <c r="BA90" s="2"/>
      <c r="BB90" s="2"/>
      <c r="BC90" s="2"/>
    </row>
    <row r="91" spans="1:55" s="1" customFormat="1" ht="20.25" customHeight="1" x14ac:dyDescent="0.25">
      <c r="B91"/>
      <c r="C91"/>
      <c r="D91"/>
      <c r="E91"/>
      <c r="F91"/>
      <c r="G91"/>
      <c r="H91"/>
      <c r="I91"/>
      <c r="J91"/>
      <c r="K91"/>
      <c r="L91"/>
      <c r="M91"/>
      <c r="N91"/>
      <c r="O91"/>
      <c r="P91"/>
      <c r="Q91"/>
      <c r="R91" s="27" t="str">
        <f>$E$41</f>
        <v/>
      </c>
      <c r="S91" s="29">
        <f>$F$41</f>
        <v>0</v>
      </c>
      <c r="T91" s="57"/>
      <c r="U91" s="4"/>
      <c r="V91" s="4"/>
      <c r="W91" s="17"/>
      <c r="X91" s="17"/>
      <c r="Z91" s="2"/>
      <c r="AA91" s="2"/>
      <c r="AD91" s="2"/>
      <c r="AE91" s="2"/>
      <c r="AF91" s="2"/>
      <c r="AG91" s="2"/>
      <c r="AH91" s="2"/>
      <c r="AL91" s="26"/>
      <c r="AM91" s="26"/>
      <c r="AN91" s="26"/>
      <c r="AO91" s="26"/>
      <c r="AP91" s="26"/>
      <c r="AT91" s="5"/>
      <c r="AW91" s="6"/>
      <c r="AX91" s="6"/>
      <c r="AY91" s="2"/>
      <c r="AZ91" s="2"/>
      <c r="BA91" s="2"/>
      <c r="BB91" s="2"/>
      <c r="BC91" s="2"/>
    </row>
    <row r="92" spans="1:55" s="1" customFormat="1" ht="20.25" customHeight="1" x14ac:dyDescent="0.25">
      <c r="B92"/>
      <c r="C92"/>
      <c r="D92"/>
      <c r="E92"/>
      <c r="F92"/>
      <c r="G92"/>
      <c r="H92"/>
      <c r="I92"/>
      <c r="J92"/>
      <c r="K92"/>
      <c r="L92"/>
      <c r="M92"/>
      <c r="N92"/>
      <c r="O92"/>
      <c r="P92"/>
      <c r="Q92"/>
      <c r="R92" s="27" t="str">
        <f>$B$16</f>
        <v/>
      </c>
      <c r="S92" s="29">
        <f>$C$16</f>
        <v>0</v>
      </c>
      <c r="T92" s="56"/>
      <c r="U92" s="4"/>
      <c r="V92" s="4"/>
      <c r="W92" s="17"/>
      <c r="X92" s="17"/>
      <c r="Z92" s="2"/>
      <c r="AA92" s="2"/>
      <c r="AD92" s="2"/>
      <c r="AE92" s="2"/>
      <c r="AF92" s="2"/>
      <c r="AG92" s="2"/>
      <c r="AH92" s="2"/>
      <c r="AM92" s="26"/>
      <c r="AN92" s="26"/>
      <c r="AO92" s="26"/>
      <c r="AP92" s="26"/>
      <c r="AT92" s="5"/>
      <c r="AW92" s="6"/>
      <c r="AX92" s="6"/>
      <c r="AY92" s="2"/>
      <c r="AZ92" s="2"/>
      <c r="BA92" s="2"/>
      <c r="BB92" s="2"/>
      <c r="BC92" s="2"/>
    </row>
    <row r="93" spans="1:55" s="1" customFormat="1" ht="20.25" customHeight="1" x14ac:dyDescent="0.25">
      <c r="B93"/>
      <c r="C93"/>
      <c r="D93"/>
      <c r="E93"/>
      <c r="F93"/>
      <c r="G93"/>
      <c r="H93"/>
      <c r="I93"/>
      <c r="J93"/>
      <c r="K93"/>
      <c r="L93"/>
      <c r="M93"/>
      <c r="N93"/>
      <c r="O93"/>
      <c r="P93"/>
      <c r="Q93"/>
      <c r="R93" s="27" t="str">
        <f>$E$16</f>
        <v/>
      </c>
      <c r="S93" s="29">
        <f>$F$16</f>
        <v>0</v>
      </c>
      <c r="T93" s="57"/>
      <c r="U93" s="4"/>
      <c r="V93" s="4"/>
      <c r="W93" s="17"/>
      <c r="X93" s="17"/>
      <c r="Z93" s="2"/>
      <c r="AA93" s="2"/>
      <c r="AD93" s="2"/>
      <c r="AE93" s="2"/>
      <c r="AF93" s="2"/>
      <c r="AG93" s="2"/>
      <c r="AH93" s="2"/>
      <c r="AM93" s="26"/>
      <c r="AN93" s="26"/>
      <c r="AO93" s="26"/>
      <c r="AP93" s="26"/>
      <c r="AT93" s="5"/>
      <c r="AW93" s="6"/>
      <c r="AX93" s="6"/>
      <c r="AY93" s="2"/>
      <c r="AZ93" s="2"/>
      <c r="BA93" s="2"/>
      <c r="BB93" s="2"/>
      <c r="BC93" s="2"/>
    </row>
    <row r="94" spans="1:55" s="1" customFormat="1" ht="20.25" customHeight="1" x14ac:dyDescent="0.25">
      <c r="B94"/>
      <c r="C94"/>
      <c r="D94"/>
      <c r="E94"/>
      <c r="F94"/>
      <c r="G94"/>
      <c r="H94"/>
      <c r="I94"/>
      <c r="J94"/>
      <c r="K94"/>
      <c r="L94"/>
      <c r="M94"/>
      <c r="N94"/>
      <c r="O94"/>
      <c r="P94"/>
      <c r="Q94"/>
      <c r="R94" s="27" t="str">
        <f>$H$41</f>
        <v/>
      </c>
      <c r="S94" s="29">
        <f>$I$41</f>
        <v>0</v>
      </c>
      <c r="T94" s="57"/>
      <c r="U94" s="4"/>
      <c r="V94" s="4"/>
      <c r="W94" s="17"/>
      <c r="X94" s="17"/>
      <c r="Z94" s="2"/>
      <c r="AA94" s="2"/>
      <c r="AD94" s="2"/>
      <c r="AE94" s="2"/>
      <c r="AF94" s="2"/>
      <c r="AG94" s="2"/>
      <c r="AH94" s="2"/>
      <c r="AM94" s="26"/>
      <c r="AN94" s="26"/>
      <c r="AO94" s="26"/>
      <c r="AP94" s="26"/>
      <c r="AT94" s="5"/>
      <c r="AW94" s="6"/>
      <c r="AX94" s="6"/>
      <c r="AY94" s="2"/>
      <c r="AZ94" s="2"/>
      <c r="BA94" s="2"/>
      <c r="BB94" s="2"/>
      <c r="BC94" s="2"/>
    </row>
    <row r="95" spans="1:55" s="1" customFormat="1" ht="20.25" customHeight="1" x14ac:dyDescent="0.25">
      <c r="B95"/>
      <c r="C95"/>
      <c r="D95"/>
      <c r="E95"/>
      <c r="F95"/>
      <c r="G95"/>
      <c r="H95"/>
      <c r="I95"/>
      <c r="J95"/>
      <c r="K95"/>
      <c r="L95"/>
      <c r="M95"/>
      <c r="N95"/>
      <c r="O95"/>
      <c r="P95"/>
      <c r="Q95"/>
      <c r="R95" s="27" t="str">
        <f>$B$66</f>
        <v/>
      </c>
      <c r="S95" s="29">
        <f>$C$66</f>
        <v>0</v>
      </c>
      <c r="T95" s="56"/>
      <c r="U95" s="4"/>
      <c r="V95" s="4"/>
      <c r="W95" s="17"/>
      <c r="X95" s="17"/>
      <c r="Z95" s="2"/>
      <c r="AA95" s="2"/>
      <c r="AD95" s="2"/>
      <c r="AE95" s="2"/>
      <c r="AF95" s="2"/>
      <c r="AG95" s="2"/>
      <c r="AH95" s="2"/>
      <c r="AM95" s="26"/>
      <c r="AN95" s="26"/>
      <c r="AO95" s="26"/>
      <c r="AP95" s="26"/>
      <c r="AT95" s="5"/>
      <c r="AW95" s="6"/>
      <c r="AX95" s="6"/>
      <c r="AY95" s="2"/>
      <c r="AZ95" s="2"/>
      <c r="BA95" s="2"/>
      <c r="BB95" s="2"/>
      <c r="BC95" s="2"/>
    </row>
    <row r="96" spans="1:55" s="1" customFormat="1" ht="20.25" customHeight="1" x14ac:dyDescent="0.25">
      <c r="B96"/>
      <c r="C96"/>
      <c r="D96"/>
      <c r="E96"/>
      <c r="F96"/>
      <c r="G96"/>
      <c r="H96"/>
      <c r="I96"/>
      <c r="J96"/>
      <c r="K96"/>
      <c r="L96"/>
      <c r="M96"/>
      <c r="N96"/>
      <c r="O96"/>
      <c r="P96"/>
      <c r="Q96"/>
      <c r="R96" s="27" t="str">
        <f>$H$16</f>
        <v/>
      </c>
      <c r="S96" s="29">
        <f>$I$16</f>
        <v>0</v>
      </c>
      <c r="T96" s="57"/>
      <c r="U96" s="4"/>
      <c r="V96" s="4"/>
      <c r="W96" s="17"/>
      <c r="X96" s="17"/>
      <c r="Y96" s="26"/>
      <c r="Z96" s="26"/>
      <c r="AA96" s="26"/>
      <c r="AD96" s="2"/>
      <c r="AE96" s="2"/>
      <c r="AF96" s="2"/>
      <c r="AG96" s="2"/>
      <c r="AH96" s="2"/>
      <c r="AM96" s="26"/>
      <c r="AN96" s="26"/>
      <c r="AO96" s="26"/>
      <c r="AP96" s="26"/>
      <c r="AT96" s="5"/>
      <c r="AW96" s="6"/>
      <c r="AX96" s="6"/>
      <c r="AY96" s="2"/>
      <c r="AZ96" s="2"/>
      <c r="BA96" s="2"/>
      <c r="BB96" s="2"/>
      <c r="BC96" s="2"/>
    </row>
    <row r="97" spans="1:55" s="1" customFormat="1" ht="20.25" customHeight="1" x14ac:dyDescent="0.25">
      <c r="A97" s="101" t="s">
        <v>55</v>
      </c>
      <c r="B97"/>
      <c r="C97"/>
      <c r="D97"/>
      <c r="E97"/>
      <c r="F97"/>
      <c r="G97"/>
      <c r="H97"/>
      <c r="I97"/>
      <c r="J97"/>
      <c r="K97"/>
      <c r="L97"/>
      <c r="M97"/>
      <c r="N97"/>
      <c r="O97"/>
      <c r="P97"/>
      <c r="Q97"/>
      <c r="R97" s="27" t="str">
        <f>$K$41</f>
        <v/>
      </c>
      <c r="S97" s="29">
        <f>$L$41</f>
        <v>0</v>
      </c>
      <c r="T97" s="57"/>
      <c r="U97" s="4"/>
      <c r="V97" s="4"/>
      <c r="W97" s="17"/>
      <c r="X97" s="17"/>
      <c r="Z97" s="2"/>
      <c r="AA97" s="2"/>
      <c r="AD97" s="2"/>
      <c r="AE97" s="2"/>
      <c r="AF97" s="2"/>
      <c r="AG97" s="2"/>
      <c r="AH97" s="2"/>
      <c r="AM97" s="26"/>
      <c r="AN97" s="26"/>
      <c r="AO97" s="26"/>
      <c r="AP97" s="26"/>
      <c r="AT97" s="5"/>
      <c r="AW97" s="6"/>
      <c r="AX97" s="6"/>
      <c r="AY97" s="2"/>
      <c r="AZ97" s="2"/>
      <c r="BA97" s="2"/>
      <c r="BB97" s="2"/>
      <c r="BC97" s="2"/>
    </row>
    <row r="98" spans="1:55" s="1" customFormat="1" ht="20.25" customHeight="1" x14ac:dyDescent="0.25">
      <c r="A98" s="101" t="s">
        <v>55</v>
      </c>
      <c r="B98"/>
      <c r="C98"/>
      <c r="D98"/>
      <c r="E98"/>
      <c r="F98"/>
      <c r="G98"/>
      <c r="H98"/>
      <c r="I98"/>
      <c r="J98"/>
      <c r="K98"/>
      <c r="L98"/>
      <c r="M98"/>
      <c r="N98"/>
      <c r="O98"/>
      <c r="P98"/>
      <c r="Q98"/>
      <c r="R98" s="27" t="str">
        <f>$K$66</f>
        <v/>
      </c>
      <c r="S98" s="29">
        <f>$L$66</f>
        <v>0</v>
      </c>
      <c r="T98" s="56"/>
      <c r="U98" s="4"/>
      <c r="V98" s="4"/>
      <c r="W98" s="17"/>
      <c r="X98" s="17"/>
      <c r="Z98" s="2"/>
      <c r="AA98" s="2"/>
      <c r="AD98" s="2"/>
      <c r="AE98" s="2"/>
      <c r="AF98" s="2"/>
      <c r="AG98" s="2"/>
      <c r="AH98" s="2"/>
      <c r="AM98" s="26"/>
      <c r="AN98" s="26"/>
      <c r="AO98" s="26"/>
      <c r="AP98" s="26"/>
      <c r="AT98" s="5"/>
      <c r="AW98" s="6"/>
      <c r="AX98" s="6"/>
      <c r="AY98" s="2"/>
      <c r="AZ98" s="2"/>
      <c r="BA98" s="2"/>
      <c r="BB98" s="2"/>
      <c r="BC98" s="2"/>
    </row>
    <row r="99" spans="1:55" s="1" customFormat="1" ht="20.25" customHeight="1" x14ac:dyDescent="0.25">
      <c r="A99" s="101" t="s">
        <v>55</v>
      </c>
      <c r="B99"/>
      <c r="C99"/>
      <c r="D99"/>
      <c r="E99"/>
      <c r="F99"/>
      <c r="G99"/>
      <c r="H99"/>
      <c r="I99"/>
      <c r="J99"/>
      <c r="K99"/>
      <c r="L99"/>
      <c r="M99"/>
      <c r="N99"/>
      <c r="O99"/>
      <c r="P99"/>
      <c r="Q99"/>
      <c r="R99" s="27" t="str">
        <f>$K$16</f>
        <v/>
      </c>
      <c r="S99" s="29">
        <f>$L$16</f>
        <v>0</v>
      </c>
      <c r="T99" s="57"/>
      <c r="U99" s="4"/>
      <c r="V99" s="4"/>
      <c r="W99" s="17"/>
      <c r="X99" s="17"/>
      <c r="Z99" s="2"/>
      <c r="AA99" s="2"/>
      <c r="AD99" s="2"/>
      <c r="AE99" s="2"/>
      <c r="AF99" s="2"/>
      <c r="AG99" s="2"/>
      <c r="AH99" s="2"/>
      <c r="AM99" s="26"/>
      <c r="AN99" s="26"/>
      <c r="AO99" s="26"/>
      <c r="AP99" s="26"/>
      <c r="AT99" s="5"/>
      <c r="AW99" s="6"/>
      <c r="AX99" s="6"/>
      <c r="AY99" s="2"/>
      <c r="AZ99" s="2"/>
      <c r="BA99" s="2"/>
      <c r="BB99" s="2"/>
      <c r="BC99" s="2"/>
    </row>
    <row r="100" spans="1:55" s="1" customFormat="1" ht="20.25" customHeight="1" x14ac:dyDescent="0.25">
      <c r="A100" s="101" t="s">
        <v>55</v>
      </c>
      <c r="B100"/>
      <c r="C100"/>
      <c r="D100"/>
      <c r="E100"/>
      <c r="F100"/>
      <c r="G100"/>
      <c r="H100"/>
      <c r="I100"/>
      <c r="J100"/>
      <c r="K100"/>
      <c r="L100"/>
      <c r="M100"/>
      <c r="N100"/>
      <c r="O100"/>
      <c r="P100"/>
      <c r="Q100"/>
      <c r="R100" s="27" t="str">
        <f>$B$41</f>
        <v/>
      </c>
      <c r="S100" s="29">
        <f>$C$41</f>
        <v>0</v>
      </c>
      <c r="T100" s="57"/>
      <c r="U100" s="4"/>
      <c r="V100" s="4"/>
      <c r="W100" s="17"/>
      <c r="X100" s="17"/>
      <c r="Z100" s="2"/>
      <c r="AA100" s="2"/>
      <c r="AD100" s="2"/>
      <c r="AE100" s="2"/>
      <c r="AF100" s="2"/>
      <c r="AG100" s="2"/>
      <c r="AH100" s="2"/>
      <c r="AM100" s="26"/>
      <c r="AN100" s="26"/>
      <c r="AO100" s="26"/>
      <c r="AP100" s="26"/>
      <c r="AT100" s="5"/>
      <c r="AW100" s="6"/>
      <c r="AX100" s="6"/>
      <c r="AY100" s="2"/>
      <c r="AZ100" s="2"/>
      <c r="BA100" s="2"/>
      <c r="BB100" s="2"/>
      <c r="BC100" s="2"/>
    </row>
    <row r="101" spans="1:55" s="1" customFormat="1" ht="20.25" customHeight="1" x14ac:dyDescent="0.25">
      <c r="A101" s="101" t="s">
        <v>55</v>
      </c>
      <c r="B101"/>
      <c r="C101"/>
      <c r="D101"/>
      <c r="E101"/>
      <c r="F101"/>
      <c r="G101"/>
      <c r="H101"/>
      <c r="I101"/>
      <c r="J101"/>
      <c r="K101"/>
      <c r="L101"/>
      <c r="M101"/>
      <c r="N101"/>
      <c r="O101"/>
      <c r="P101"/>
      <c r="Q101"/>
      <c r="R101" s="27" t="str">
        <f>$E$66</f>
        <v/>
      </c>
      <c r="S101" s="29">
        <f>$F$66</f>
        <v>0</v>
      </c>
      <c r="T101" s="56"/>
      <c r="U101" s="4"/>
      <c r="V101" s="4"/>
      <c r="W101" s="17"/>
      <c r="X101" s="17"/>
      <c r="Z101" s="2"/>
      <c r="AA101" s="2"/>
      <c r="AD101" s="2"/>
      <c r="AE101" s="2"/>
      <c r="AF101" s="2"/>
      <c r="AG101" s="2"/>
      <c r="AH101" s="2"/>
      <c r="AM101" s="26"/>
      <c r="AN101" s="26"/>
      <c r="AO101" s="26"/>
      <c r="AP101" s="26"/>
      <c r="AT101" s="5"/>
      <c r="AW101" s="6"/>
      <c r="AX101" s="6"/>
      <c r="AY101" s="2"/>
      <c r="AZ101" s="2"/>
      <c r="BA101" s="2"/>
      <c r="BB101" s="2"/>
      <c r="BC101" s="2"/>
    </row>
    <row r="102" spans="1:55" s="1" customFormat="1" ht="20.25" customHeight="1" x14ac:dyDescent="0.25">
      <c r="A102" s="101" t="s">
        <v>55</v>
      </c>
      <c r="B102"/>
      <c r="C102"/>
      <c r="D102"/>
      <c r="E102"/>
      <c r="F102"/>
      <c r="G102"/>
      <c r="H102"/>
      <c r="I102"/>
      <c r="J102"/>
      <c r="K102"/>
      <c r="L102"/>
      <c r="M102"/>
      <c r="N102"/>
      <c r="O102"/>
      <c r="P102"/>
      <c r="Q102"/>
      <c r="R102" s="27" t="str">
        <f>$E$42</f>
        <v/>
      </c>
      <c r="S102" s="29">
        <f>$F$42</f>
        <v>0</v>
      </c>
      <c r="T102" s="57"/>
      <c r="U102" s="4"/>
      <c r="V102" s="4"/>
      <c r="W102" s="17"/>
      <c r="X102" s="17"/>
      <c r="Z102" s="2"/>
      <c r="AA102" s="2"/>
      <c r="AD102" s="2"/>
      <c r="AE102" s="2"/>
      <c r="AF102" s="2"/>
      <c r="AG102" s="2"/>
      <c r="AH102" s="2"/>
      <c r="AM102" s="26"/>
      <c r="AN102" s="26"/>
      <c r="AO102" s="26"/>
      <c r="AP102" s="26"/>
      <c r="AT102" s="5"/>
      <c r="AW102" s="6"/>
      <c r="AX102" s="6"/>
      <c r="AY102" s="2"/>
      <c r="AZ102" s="2"/>
      <c r="BA102" s="2"/>
      <c r="BB102" s="2"/>
      <c r="BC102" s="2"/>
    </row>
    <row r="103" spans="1:55" s="1" customFormat="1" ht="20.25" customHeight="1" x14ac:dyDescent="0.25">
      <c r="A103" s="101" t="s">
        <v>55</v>
      </c>
      <c r="B103"/>
      <c r="C103"/>
      <c r="D103"/>
      <c r="E103"/>
      <c r="F103"/>
      <c r="G103"/>
      <c r="H103"/>
      <c r="I103"/>
      <c r="J103"/>
      <c r="K103"/>
      <c r="L103"/>
      <c r="M103"/>
      <c r="N103"/>
      <c r="O103"/>
      <c r="P103"/>
      <c r="Q103"/>
      <c r="R103" s="27" t="str">
        <f>$B$17</f>
        <v/>
      </c>
      <c r="S103" s="29">
        <f>$C$17</f>
        <v>0</v>
      </c>
      <c r="T103" s="40"/>
      <c r="U103" s="4"/>
      <c r="V103" s="4"/>
      <c r="W103" s="17"/>
      <c r="X103" s="17"/>
      <c r="Z103" s="2"/>
      <c r="AA103" s="2"/>
      <c r="AD103" s="2"/>
      <c r="AE103" s="2"/>
      <c r="AF103" s="2"/>
      <c r="AG103" s="2"/>
      <c r="AH103" s="2"/>
      <c r="AM103" s="26"/>
      <c r="AN103" s="26"/>
      <c r="AO103" s="26"/>
      <c r="AP103" s="26"/>
      <c r="AT103" s="5"/>
      <c r="AW103" s="6"/>
      <c r="AX103" s="6"/>
      <c r="AY103" s="2"/>
      <c r="AZ103" s="2"/>
      <c r="BA103" s="2"/>
      <c r="BB103" s="2"/>
      <c r="BC103" s="2"/>
    </row>
    <row r="104" spans="1:55" s="1" customFormat="1" ht="20.25" customHeight="1" x14ac:dyDescent="0.25">
      <c r="A104" s="101" t="s">
        <v>55</v>
      </c>
      <c r="B104"/>
      <c r="C104"/>
      <c r="D104"/>
      <c r="E104"/>
      <c r="F104"/>
      <c r="G104"/>
      <c r="H104"/>
      <c r="I104"/>
      <c r="J104"/>
      <c r="K104"/>
      <c r="L104"/>
      <c r="M104"/>
      <c r="N104"/>
      <c r="O104"/>
      <c r="P104"/>
      <c r="Q104"/>
      <c r="R104" s="27" t="str">
        <f>$H$67</f>
        <v/>
      </c>
      <c r="S104" s="29">
        <f>$I$67</f>
        <v>0</v>
      </c>
      <c r="T104" s="16"/>
      <c r="U104" s="4"/>
      <c r="V104" s="4"/>
      <c r="W104" s="17"/>
      <c r="X104" s="17"/>
      <c r="Z104" s="2"/>
      <c r="AA104" s="2"/>
      <c r="AD104" s="2"/>
      <c r="AE104" s="2"/>
      <c r="AF104" s="2"/>
      <c r="AG104" s="2"/>
      <c r="AH104" s="2"/>
      <c r="AM104" s="26"/>
      <c r="AN104" s="26"/>
      <c r="AO104" s="26"/>
      <c r="AP104" s="26"/>
      <c r="AT104" s="5"/>
      <c r="AW104" s="6"/>
      <c r="AX104" s="6"/>
      <c r="AY104" s="2"/>
      <c r="AZ104" s="2"/>
      <c r="BA104" s="2"/>
      <c r="BB104" s="2"/>
      <c r="BC104" s="2"/>
    </row>
    <row r="105" spans="1:55" s="1" customFormat="1" ht="20.25" customHeight="1" x14ac:dyDescent="0.25">
      <c r="A105" s="101" t="s">
        <v>55</v>
      </c>
      <c r="B105"/>
      <c r="C105"/>
      <c r="D105"/>
      <c r="E105"/>
      <c r="F105"/>
      <c r="G105"/>
      <c r="H105"/>
      <c r="I105"/>
      <c r="J105"/>
      <c r="K105"/>
      <c r="L105"/>
      <c r="M105"/>
      <c r="N105"/>
      <c r="O105"/>
      <c r="P105"/>
      <c r="Q105"/>
      <c r="R105" s="27" t="str">
        <f>$H$42</f>
        <v/>
      </c>
      <c r="S105" s="29">
        <f>$I$42</f>
        <v>0</v>
      </c>
      <c r="T105" s="40"/>
      <c r="U105" s="4"/>
      <c r="V105" s="4"/>
      <c r="W105" s="17"/>
      <c r="X105" s="17"/>
      <c r="Z105" s="2"/>
      <c r="AA105" s="2"/>
      <c r="AD105" s="2"/>
      <c r="AE105" s="2"/>
      <c r="AF105" s="2"/>
      <c r="AG105" s="2"/>
      <c r="AH105" s="2"/>
      <c r="AM105" s="26"/>
      <c r="AN105" s="26"/>
      <c r="AO105" s="26"/>
      <c r="AP105" s="26"/>
      <c r="AT105" s="5"/>
      <c r="AW105" s="6"/>
      <c r="AX105" s="6"/>
      <c r="AY105" s="2"/>
      <c r="AZ105" s="2"/>
      <c r="BA105" s="2"/>
      <c r="BB105" s="2"/>
      <c r="BC105" s="2"/>
    </row>
    <row r="106" spans="1:55" s="1" customFormat="1" ht="20.25" customHeight="1" x14ac:dyDescent="0.25">
      <c r="A106" s="101" t="s">
        <v>55</v>
      </c>
      <c r="B106"/>
      <c r="C106"/>
      <c r="D106"/>
      <c r="E106"/>
      <c r="F106"/>
      <c r="G106"/>
      <c r="H106"/>
      <c r="I106"/>
      <c r="J106"/>
      <c r="K106"/>
      <c r="L106"/>
      <c r="M106"/>
      <c r="N106"/>
      <c r="O106"/>
      <c r="P106"/>
      <c r="Q106"/>
      <c r="R106" s="27" t="str">
        <f>$B$67</f>
        <v/>
      </c>
      <c r="S106" s="29">
        <f>$C$67</f>
        <v>0</v>
      </c>
      <c r="T106" s="40"/>
      <c r="U106" s="4"/>
      <c r="V106" s="4"/>
      <c r="W106" s="17"/>
      <c r="X106" s="17"/>
      <c r="Z106" s="2"/>
      <c r="AA106" s="2"/>
      <c r="AD106" s="2"/>
      <c r="AE106" s="2"/>
      <c r="AF106" s="2"/>
      <c r="AG106" s="2"/>
      <c r="AH106" s="2"/>
      <c r="AM106" s="26"/>
      <c r="AN106" s="26"/>
      <c r="AO106" s="26"/>
      <c r="AP106" s="26"/>
      <c r="AT106" s="5"/>
      <c r="AW106" s="6"/>
      <c r="AX106" s="6"/>
      <c r="AY106" s="2"/>
      <c r="AZ106" s="2"/>
      <c r="BA106" s="2"/>
      <c r="BB106" s="2"/>
      <c r="BC106" s="2"/>
    </row>
    <row r="107" spans="1:55" s="1" customFormat="1" ht="20.25" customHeight="1" x14ac:dyDescent="0.25">
      <c r="A107" s="101" t="s">
        <v>55</v>
      </c>
      <c r="B107"/>
      <c r="C107"/>
      <c r="D107"/>
      <c r="E107"/>
      <c r="F107"/>
      <c r="G107"/>
      <c r="H107"/>
      <c r="I107"/>
      <c r="J107"/>
      <c r="K107"/>
      <c r="L107"/>
      <c r="M107"/>
      <c r="N107"/>
      <c r="O107"/>
      <c r="P107"/>
      <c r="Q107"/>
      <c r="R107" s="27" t="str">
        <f>$E$17</f>
        <v/>
      </c>
      <c r="S107" s="29">
        <f>$F$17</f>
        <v>0</v>
      </c>
      <c r="T107" s="16"/>
      <c r="U107" s="4"/>
      <c r="V107" s="4"/>
      <c r="W107" s="17"/>
      <c r="X107" s="17"/>
      <c r="Z107" s="2"/>
      <c r="AA107" s="2"/>
      <c r="AD107" s="2"/>
      <c r="AE107" s="2"/>
      <c r="AF107" s="2"/>
      <c r="AG107" s="2"/>
      <c r="AH107" s="2"/>
      <c r="AM107" s="26"/>
      <c r="AN107" s="26"/>
      <c r="AO107" s="26"/>
      <c r="AP107" s="26"/>
      <c r="AT107" s="5"/>
      <c r="AW107" s="6"/>
      <c r="AX107" s="6"/>
      <c r="AY107" s="2"/>
      <c r="AZ107" s="2"/>
      <c r="BA107" s="2"/>
      <c r="BB107" s="2"/>
      <c r="BC107" s="2"/>
    </row>
    <row r="108" spans="1:55" s="1" customFormat="1" ht="20.25" customHeight="1" x14ac:dyDescent="0.25">
      <c r="A108" s="101" t="s">
        <v>55</v>
      </c>
      <c r="B108"/>
      <c r="C108"/>
      <c r="D108"/>
      <c r="E108"/>
      <c r="F108"/>
      <c r="G108"/>
      <c r="H108"/>
      <c r="I108"/>
      <c r="J108"/>
      <c r="K108"/>
      <c r="L108"/>
      <c r="M108"/>
      <c r="N108"/>
      <c r="O108"/>
      <c r="P108"/>
      <c r="Q108"/>
      <c r="R108" s="27" t="str">
        <f>$K$42</f>
        <v/>
      </c>
      <c r="S108" s="29">
        <f>$L$42</f>
        <v>0</v>
      </c>
      <c r="T108" s="40"/>
      <c r="U108" s="4"/>
      <c r="V108" s="4"/>
      <c r="W108" s="17"/>
      <c r="X108" s="17"/>
      <c r="Z108" s="2"/>
      <c r="AA108" s="2"/>
      <c r="AD108" s="2"/>
      <c r="AE108" s="2"/>
      <c r="AF108" s="2"/>
      <c r="AG108" s="2"/>
      <c r="AH108" s="2"/>
      <c r="AM108" s="26"/>
      <c r="AN108" s="26"/>
      <c r="AO108" s="26"/>
      <c r="AP108" s="26"/>
      <c r="AT108" s="5"/>
      <c r="AW108" s="2"/>
      <c r="AX108" s="2"/>
      <c r="AY108" s="2"/>
      <c r="AZ108" s="2"/>
      <c r="BA108" s="2"/>
      <c r="BB108" s="2"/>
      <c r="BC108" s="2"/>
    </row>
    <row r="109" spans="1:55" s="1" customFormat="1" ht="20.25" customHeight="1" x14ac:dyDescent="0.25">
      <c r="A109" s="101" t="s">
        <v>55</v>
      </c>
      <c r="B109"/>
      <c r="C109"/>
      <c r="D109"/>
      <c r="E109"/>
      <c r="F109"/>
      <c r="G109"/>
      <c r="H109"/>
      <c r="I109"/>
      <c r="J109"/>
      <c r="K109"/>
      <c r="L109"/>
      <c r="M109"/>
      <c r="N109"/>
      <c r="O109"/>
      <c r="P109"/>
      <c r="Q109"/>
      <c r="R109" s="27" t="str">
        <f>$H$17</f>
        <v/>
      </c>
      <c r="S109" s="29">
        <f>$I$17</f>
        <v>0</v>
      </c>
      <c r="T109" s="40"/>
      <c r="U109" s="4"/>
      <c r="V109" s="4"/>
      <c r="W109" s="17"/>
      <c r="X109" s="17"/>
      <c r="Z109" s="2"/>
      <c r="AA109" s="2"/>
      <c r="AD109" s="2"/>
      <c r="AE109" s="2"/>
      <c r="AF109" s="2"/>
      <c r="AG109" s="2"/>
      <c r="AH109" s="2"/>
      <c r="AM109" s="26"/>
      <c r="AN109" s="26"/>
      <c r="AO109" s="26"/>
      <c r="AP109" s="26"/>
      <c r="AT109" s="5"/>
      <c r="AW109" s="2"/>
      <c r="AX109" s="2"/>
      <c r="AY109" s="2"/>
      <c r="AZ109" s="2"/>
      <c r="BA109" s="2"/>
      <c r="BB109" s="2"/>
      <c r="BC109" s="2"/>
    </row>
    <row r="110" spans="1:55" s="1" customFormat="1" ht="20.25" customHeight="1" x14ac:dyDescent="0.25">
      <c r="A110" s="101" t="s">
        <v>55</v>
      </c>
      <c r="B110"/>
      <c r="C110"/>
      <c r="D110"/>
      <c r="E110"/>
      <c r="F110"/>
      <c r="G110"/>
      <c r="H110"/>
      <c r="I110"/>
      <c r="J110"/>
      <c r="K110"/>
      <c r="L110"/>
      <c r="M110"/>
      <c r="N110"/>
      <c r="O110"/>
      <c r="P110"/>
      <c r="Q110"/>
      <c r="R110" s="27" t="str">
        <f>$K$67</f>
        <v/>
      </c>
      <c r="S110" s="29">
        <f>$L$67</f>
        <v>0</v>
      </c>
      <c r="T110" s="16"/>
      <c r="U110" s="4"/>
      <c r="V110" s="4"/>
      <c r="W110" s="17"/>
      <c r="X110" s="17"/>
      <c r="Z110" s="2"/>
      <c r="AA110" s="2"/>
      <c r="AD110" s="2"/>
      <c r="AE110" s="2"/>
      <c r="AF110" s="2"/>
      <c r="AG110" s="2"/>
      <c r="AH110" s="2"/>
      <c r="AM110" s="26"/>
      <c r="AN110" s="26"/>
      <c r="AO110" s="26"/>
      <c r="AP110" s="26"/>
      <c r="AT110" s="5"/>
      <c r="AW110" s="2"/>
      <c r="AX110" s="2"/>
      <c r="AY110" s="2"/>
      <c r="AZ110" s="2"/>
      <c r="BA110" s="2"/>
      <c r="BB110" s="2"/>
      <c r="BC110" s="2"/>
    </row>
    <row r="111" spans="1:55" s="1" customFormat="1" ht="20.25" customHeight="1" x14ac:dyDescent="0.25">
      <c r="A111" s="101" t="s">
        <v>55</v>
      </c>
      <c r="B111"/>
      <c r="C111"/>
      <c r="D111"/>
      <c r="E111"/>
      <c r="F111"/>
      <c r="G111"/>
      <c r="H111"/>
      <c r="I111"/>
      <c r="J111"/>
      <c r="K111"/>
      <c r="L111"/>
      <c r="M111"/>
      <c r="N111"/>
      <c r="O111"/>
      <c r="P111"/>
      <c r="Q111"/>
      <c r="R111" s="27" t="str">
        <f>$B$42</f>
        <v/>
      </c>
      <c r="S111" s="29">
        <f>$C$42</f>
        <v>0</v>
      </c>
      <c r="T111" s="40"/>
      <c r="U111" s="4"/>
      <c r="V111" s="4"/>
      <c r="W111" s="17"/>
      <c r="X111" s="17"/>
      <c r="Z111" s="2"/>
      <c r="AA111" s="2"/>
      <c r="AD111" s="2"/>
      <c r="AE111" s="2"/>
      <c r="AF111" s="2"/>
      <c r="AG111" s="2"/>
      <c r="AH111" s="2"/>
      <c r="AM111" s="26"/>
      <c r="AN111" s="26"/>
      <c r="AO111" s="26"/>
      <c r="AP111" s="26"/>
      <c r="AT111" s="5"/>
      <c r="AW111" s="2"/>
      <c r="AX111" s="2"/>
      <c r="AY111" s="2"/>
      <c r="AZ111" s="2"/>
      <c r="BA111" s="2"/>
      <c r="BB111" s="2"/>
      <c r="BC111" s="2"/>
    </row>
    <row r="112" spans="1:55" s="1" customFormat="1" ht="20.25" customHeight="1" x14ac:dyDescent="0.25">
      <c r="A112" s="101" t="s">
        <v>55</v>
      </c>
      <c r="B112"/>
      <c r="C112"/>
      <c r="D112"/>
      <c r="E112"/>
      <c r="F112"/>
      <c r="G112"/>
      <c r="H112"/>
      <c r="I112"/>
      <c r="J112"/>
      <c r="K112"/>
      <c r="L112"/>
      <c r="M112"/>
      <c r="N112"/>
      <c r="O112"/>
      <c r="P112"/>
      <c r="Q112"/>
      <c r="R112" s="27" t="str">
        <f>$K$17</f>
        <v/>
      </c>
      <c r="S112" s="29">
        <f>$L$17</f>
        <v>0</v>
      </c>
      <c r="T112" s="5"/>
      <c r="U112" s="4"/>
      <c r="V112" s="4"/>
      <c r="W112" s="17"/>
      <c r="X112" s="17"/>
      <c r="Z112" s="2"/>
      <c r="AA112" s="2"/>
      <c r="AD112" s="2"/>
      <c r="AE112" s="2"/>
      <c r="AF112" s="2"/>
      <c r="AG112" s="2"/>
      <c r="AH112" s="2"/>
      <c r="AM112" s="26"/>
      <c r="AN112" s="26"/>
      <c r="AO112" s="26"/>
      <c r="AP112" s="26"/>
      <c r="AT112" s="5"/>
      <c r="AW112" s="2"/>
      <c r="AX112" s="2"/>
      <c r="AY112" s="2"/>
      <c r="AZ112" s="2"/>
      <c r="BA112" s="2"/>
      <c r="BB112" s="2"/>
      <c r="BC112" s="2"/>
    </row>
    <row r="113" spans="1:55" s="1" customFormat="1" ht="20.25" customHeight="1" x14ac:dyDescent="0.25">
      <c r="A113" s="101" t="s">
        <v>55</v>
      </c>
      <c r="B113"/>
      <c r="C113"/>
      <c r="D113"/>
      <c r="E113"/>
      <c r="F113"/>
      <c r="G113"/>
      <c r="H113"/>
      <c r="I113"/>
      <c r="J113"/>
      <c r="K113"/>
      <c r="L113"/>
      <c r="M113"/>
      <c r="N113"/>
      <c r="O113"/>
      <c r="P113"/>
      <c r="Q113"/>
      <c r="R113" s="27" t="str">
        <f>$E$67</f>
        <v/>
      </c>
      <c r="S113" s="29">
        <f>$F$67</f>
        <v>0</v>
      </c>
      <c r="T113" s="16"/>
      <c r="U113" s="4"/>
      <c r="V113" s="4"/>
      <c r="W113" s="17"/>
      <c r="X113" s="17"/>
      <c r="Z113" s="2"/>
      <c r="AA113" s="2"/>
      <c r="AD113" s="2"/>
      <c r="AE113" s="2"/>
      <c r="AF113" s="2"/>
      <c r="AG113" s="2"/>
      <c r="AH113" s="2"/>
      <c r="AL113" s="26"/>
      <c r="AM113" s="26"/>
      <c r="AN113" s="26"/>
      <c r="AO113" s="26"/>
      <c r="AP113" s="26"/>
      <c r="AT113" s="5"/>
      <c r="AW113" s="2"/>
      <c r="AX113" s="2"/>
      <c r="AY113" s="2"/>
      <c r="AZ113" s="2"/>
      <c r="BA113" s="2"/>
      <c r="BB113" s="2"/>
      <c r="BC113" s="2"/>
    </row>
    <row r="114" spans="1:55" s="1" customFormat="1" ht="20.25" customHeight="1" x14ac:dyDescent="0.25">
      <c r="A114" s="101" t="s">
        <v>55</v>
      </c>
      <c r="B114"/>
      <c r="C114"/>
      <c r="D114"/>
      <c r="E114"/>
      <c r="F114"/>
      <c r="G114"/>
      <c r="H114"/>
      <c r="I114"/>
      <c r="J114"/>
      <c r="K114"/>
      <c r="L114"/>
      <c r="M114"/>
      <c r="N114"/>
      <c r="O114"/>
      <c r="P114"/>
      <c r="Q114"/>
      <c r="R114" s="27" t="str">
        <f>$B$18</f>
        <v/>
      </c>
      <c r="S114" s="29">
        <f>$C$18</f>
        <v>0</v>
      </c>
      <c r="T114" s="40"/>
      <c r="U114" s="4"/>
      <c r="V114" s="4"/>
      <c r="W114" s="17"/>
      <c r="X114" s="17"/>
      <c r="Z114" s="2"/>
      <c r="AA114" s="2"/>
      <c r="AD114" s="2"/>
      <c r="AE114" s="2"/>
      <c r="AF114" s="2"/>
      <c r="AG114" s="2"/>
      <c r="AH114" s="2"/>
      <c r="AM114" s="26"/>
      <c r="AN114" s="26"/>
      <c r="AO114" s="26"/>
      <c r="AP114" s="26"/>
      <c r="AT114" s="5"/>
      <c r="AW114" s="2"/>
      <c r="AX114" s="2"/>
      <c r="AY114" s="2"/>
      <c r="AZ114" s="2"/>
      <c r="BA114" s="2"/>
      <c r="BB114" s="2"/>
      <c r="BC114" s="2"/>
    </row>
    <row r="115" spans="1:55" s="1" customFormat="1" ht="20.25" customHeight="1" x14ac:dyDescent="0.25">
      <c r="A115" s="101" t="s">
        <v>55</v>
      </c>
      <c r="B115"/>
      <c r="C115"/>
      <c r="D115"/>
      <c r="E115"/>
      <c r="F115"/>
      <c r="G115"/>
      <c r="H115"/>
      <c r="I115"/>
      <c r="J115"/>
      <c r="K115"/>
      <c r="L115"/>
      <c r="M115"/>
      <c r="N115"/>
      <c r="O115"/>
      <c r="P115"/>
      <c r="Q115"/>
      <c r="R115" s="27" t="str">
        <f>$H$68</f>
        <v/>
      </c>
      <c r="S115" s="29">
        <f>$I$68</f>
        <v>0</v>
      </c>
      <c r="T115" s="40"/>
      <c r="U115" s="4"/>
      <c r="V115" s="4"/>
      <c r="W115" s="17"/>
      <c r="X115" s="17"/>
      <c r="Z115" s="2"/>
      <c r="AA115" s="2"/>
      <c r="AD115" s="2"/>
      <c r="AE115" s="2"/>
      <c r="AF115" s="2"/>
      <c r="AG115" s="2"/>
      <c r="AH115" s="2"/>
      <c r="AT115" s="5"/>
      <c r="AW115" s="2"/>
      <c r="AX115" s="2"/>
      <c r="AY115" s="2"/>
      <c r="AZ115" s="2"/>
      <c r="BA115" s="2"/>
      <c r="BB115" s="2"/>
      <c r="BC115" s="2"/>
    </row>
    <row r="116" spans="1:55" s="1" customFormat="1" ht="20.25" customHeight="1" x14ac:dyDescent="0.25">
      <c r="A116" s="101" t="s">
        <v>55</v>
      </c>
      <c r="B116"/>
      <c r="C116"/>
      <c r="D116"/>
      <c r="E116"/>
      <c r="F116"/>
      <c r="G116"/>
      <c r="H116"/>
      <c r="I116"/>
      <c r="J116"/>
      <c r="K116"/>
      <c r="L116"/>
      <c r="M116"/>
      <c r="N116"/>
      <c r="O116"/>
      <c r="P116"/>
      <c r="Q116"/>
      <c r="R116" s="27" t="str">
        <f>$E$43</f>
        <v/>
      </c>
      <c r="S116" s="29">
        <f>$F$43</f>
        <v>0</v>
      </c>
      <c r="T116" s="16"/>
      <c r="U116" s="4"/>
      <c r="V116" s="4"/>
      <c r="W116" s="17"/>
      <c r="X116" s="17"/>
      <c r="Z116" s="2"/>
      <c r="AA116" s="2"/>
      <c r="AD116" s="2"/>
      <c r="AE116" s="2"/>
      <c r="AF116" s="2"/>
      <c r="AG116" s="2"/>
      <c r="AH116" s="2"/>
      <c r="AT116" s="5"/>
      <c r="AW116" s="2"/>
      <c r="AX116" s="2"/>
      <c r="AY116" s="2"/>
      <c r="AZ116" s="2"/>
      <c r="BA116" s="2"/>
      <c r="BB116" s="2"/>
      <c r="BC116" s="2"/>
    </row>
    <row r="117" spans="1:55" s="1" customFormat="1" ht="20.25" customHeight="1" x14ac:dyDescent="0.25">
      <c r="A117" s="101" t="s">
        <v>55</v>
      </c>
      <c r="B117"/>
      <c r="C117"/>
      <c r="D117"/>
      <c r="E117"/>
      <c r="F117"/>
      <c r="G117"/>
      <c r="H117"/>
      <c r="I117"/>
      <c r="J117"/>
      <c r="K117"/>
      <c r="L117"/>
      <c r="M117"/>
      <c r="N117"/>
      <c r="O117"/>
      <c r="P117"/>
      <c r="Q117"/>
      <c r="R117" s="27" t="str">
        <f>$E$18</f>
        <v/>
      </c>
      <c r="S117" s="29">
        <f>$F$18</f>
        <v>0</v>
      </c>
      <c r="T117" s="40"/>
      <c r="U117" s="4"/>
      <c r="V117" s="4"/>
      <c r="W117" s="17"/>
      <c r="X117" s="17"/>
      <c r="Z117" s="2"/>
      <c r="AA117" s="2"/>
      <c r="AD117" s="2"/>
      <c r="AE117" s="2"/>
      <c r="AF117" s="2"/>
      <c r="AG117" s="2"/>
      <c r="AH117" s="2"/>
      <c r="AT117" s="5"/>
      <c r="AW117" s="2"/>
      <c r="AX117" s="2"/>
      <c r="AY117" s="2"/>
      <c r="AZ117" s="2"/>
      <c r="BA117" s="2"/>
      <c r="BB117" s="2"/>
      <c r="BC117" s="2"/>
    </row>
    <row r="118" spans="1:55" s="1" customFormat="1" ht="20.25" customHeight="1" x14ac:dyDescent="0.25">
      <c r="A118" s="101" t="s">
        <v>55</v>
      </c>
      <c r="B118"/>
      <c r="C118"/>
      <c r="D118"/>
      <c r="E118"/>
      <c r="F118"/>
      <c r="G118"/>
      <c r="H118"/>
      <c r="I118"/>
      <c r="J118"/>
      <c r="K118"/>
      <c r="L118"/>
      <c r="M118"/>
      <c r="N118"/>
      <c r="O118"/>
      <c r="P118"/>
      <c r="Q118"/>
      <c r="R118" s="27" t="str">
        <f>$H$43</f>
        <v/>
      </c>
      <c r="S118" s="29">
        <f>$I$43</f>
        <v>0</v>
      </c>
      <c r="T118" s="40"/>
      <c r="U118" s="4"/>
      <c r="V118" s="4"/>
      <c r="W118" s="17"/>
      <c r="X118" s="17"/>
      <c r="Z118" s="2"/>
      <c r="AA118" s="2"/>
      <c r="AD118" s="2"/>
      <c r="AE118" s="2"/>
      <c r="AF118" s="2"/>
      <c r="AG118" s="2"/>
      <c r="AH118" s="2"/>
      <c r="AT118" s="5"/>
      <c r="AW118" s="2"/>
      <c r="AX118" s="2"/>
      <c r="AY118" s="2"/>
      <c r="AZ118" s="2"/>
      <c r="BA118" s="2"/>
      <c r="BB118" s="2"/>
      <c r="BC118" s="2"/>
    </row>
    <row r="119" spans="1:55" s="1" customFormat="1" ht="20.25" customHeight="1" x14ac:dyDescent="0.25">
      <c r="A119" s="101" t="s">
        <v>55</v>
      </c>
      <c r="B119"/>
      <c r="C119"/>
      <c r="D119"/>
      <c r="E119"/>
      <c r="F119"/>
      <c r="G119"/>
      <c r="H119"/>
      <c r="I119"/>
      <c r="J119"/>
      <c r="K119"/>
      <c r="L119"/>
      <c r="M119"/>
      <c r="N119"/>
      <c r="O119"/>
      <c r="P119"/>
      <c r="Q119"/>
      <c r="R119" s="27" t="str">
        <f>$B$68</f>
        <v/>
      </c>
      <c r="S119" s="29">
        <f>$C$68</f>
        <v>0</v>
      </c>
      <c r="T119" s="16"/>
      <c r="U119" s="4"/>
      <c r="V119" s="4"/>
      <c r="W119" s="17"/>
      <c r="X119" s="17"/>
      <c r="Z119" s="2"/>
      <c r="AA119" s="2"/>
      <c r="AD119" s="2"/>
      <c r="AE119" s="2"/>
      <c r="AF119" s="2"/>
      <c r="AG119" s="2"/>
      <c r="AH119" s="2"/>
      <c r="AT119" s="5"/>
      <c r="AW119" s="2"/>
      <c r="AX119" s="2"/>
      <c r="AY119" s="2"/>
      <c r="AZ119" s="2"/>
      <c r="BA119" s="2"/>
      <c r="BB119" s="2"/>
      <c r="BC119" s="2"/>
    </row>
    <row r="120" spans="1:55" s="1" customFormat="1" ht="20.25" customHeight="1" x14ac:dyDescent="0.25">
      <c r="A120" s="101" t="s">
        <v>55</v>
      </c>
      <c r="B120"/>
      <c r="C120"/>
      <c r="D120"/>
      <c r="E120"/>
      <c r="F120"/>
      <c r="G120"/>
      <c r="H120"/>
      <c r="I120"/>
      <c r="J120"/>
      <c r="K120"/>
      <c r="L120"/>
      <c r="M120"/>
      <c r="N120"/>
      <c r="O120"/>
      <c r="P120"/>
      <c r="Q120"/>
      <c r="R120" s="27" t="str">
        <f>$K$68</f>
        <v/>
      </c>
      <c r="S120" s="29">
        <f>$L$68</f>
        <v>0</v>
      </c>
      <c r="T120" s="40"/>
      <c r="U120" s="4"/>
      <c r="V120" s="4"/>
      <c r="W120" s="17"/>
      <c r="X120" s="17"/>
      <c r="Z120" s="2"/>
      <c r="AA120" s="2"/>
      <c r="AD120" s="2"/>
      <c r="AE120" s="2"/>
      <c r="AF120" s="2"/>
      <c r="AG120" s="2"/>
      <c r="AH120" s="2"/>
      <c r="AT120" s="5"/>
      <c r="AW120" s="2"/>
      <c r="AX120" s="2"/>
      <c r="AY120" s="2"/>
      <c r="AZ120" s="2"/>
      <c r="BA120" s="2"/>
      <c r="BB120" s="2"/>
      <c r="BC120" s="2"/>
    </row>
    <row r="121" spans="1:55" s="1" customFormat="1" ht="20.25" customHeight="1" x14ac:dyDescent="0.25">
      <c r="A121" s="101" t="s">
        <v>55</v>
      </c>
      <c r="B121"/>
      <c r="C121"/>
      <c r="D121"/>
      <c r="E121"/>
      <c r="F121"/>
      <c r="G121"/>
      <c r="H121"/>
      <c r="I121"/>
      <c r="J121"/>
      <c r="K121"/>
      <c r="L121"/>
      <c r="M121"/>
      <c r="N121"/>
      <c r="O121"/>
      <c r="P121"/>
      <c r="Q121"/>
      <c r="R121" s="27" t="str">
        <f>$H$18</f>
        <v/>
      </c>
      <c r="S121" s="29">
        <f>$I$18</f>
        <v>0</v>
      </c>
      <c r="T121" s="40"/>
      <c r="U121" s="4"/>
      <c r="V121" s="4"/>
      <c r="W121" s="17"/>
      <c r="X121" s="17"/>
      <c r="Z121" s="2"/>
      <c r="AA121" s="2"/>
      <c r="AD121" s="2"/>
      <c r="AE121" s="2"/>
      <c r="AF121" s="2"/>
      <c r="AG121" s="2"/>
      <c r="AH121" s="2"/>
      <c r="AT121" s="5"/>
      <c r="AW121" s="2"/>
      <c r="AX121" s="2"/>
      <c r="AY121" s="2"/>
      <c r="AZ121" s="2"/>
      <c r="BA121" s="2"/>
      <c r="BB121" s="2"/>
      <c r="BC121" s="2"/>
    </row>
    <row r="122" spans="1:55" s="1" customFormat="1" ht="20.25" customHeight="1" x14ac:dyDescent="0.25">
      <c r="A122" s="101" t="s">
        <v>55</v>
      </c>
      <c r="B122"/>
      <c r="C122"/>
      <c r="D122"/>
      <c r="E122"/>
      <c r="F122"/>
      <c r="G122"/>
      <c r="H122"/>
      <c r="I122"/>
      <c r="J122"/>
      <c r="K122"/>
      <c r="L122"/>
      <c r="M122"/>
      <c r="N122"/>
      <c r="O122"/>
      <c r="P122"/>
      <c r="Q122"/>
      <c r="R122" s="27" t="str">
        <f>$K$43</f>
        <v/>
      </c>
      <c r="S122" s="29">
        <f>$L$43</f>
        <v>0</v>
      </c>
      <c r="T122" s="16"/>
      <c r="U122" s="4"/>
      <c r="V122" s="4"/>
      <c r="W122" s="17"/>
      <c r="X122" s="17"/>
      <c r="Z122" s="2"/>
      <c r="AA122" s="2"/>
      <c r="AD122" s="2"/>
      <c r="AE122" s="2"/>
      <c r="AF122" s="2"/>
      <c r="AG122" s="2"/>
      <c r="AH122" s="2"/>
      <c r="AT122" s="5"/>
      <c r="AW122" s="2"/>
      <c r="AX122" s="2"/>
      <c r="AY122" s="2"/>
      <c r="AZ122" s="2"/>
      <c r="BA122" s="2"/>
      <c r="BB122" s="2"/>
      <c r="BC122" s="2"/>
    </row>
    <row r="123" spans="1:55" s="1" customFormat="1" ht="20.25" customHeight="1" x14ac:dyDescent="0.25">
      <c r="A123" s="101" t="s">
        <v>55</v>
      </c>
      <c r="B123"/>
      <c r="C123"/>
      <c r="D123"/>
      <c r="E123"/>
      <c r="F123"/>
      <c r="G123"/>
      <c r="H123"/>
      <c r="I123"/>
      <c r="J123"/>
      <c r="K123"/>
      <c r="L123"/>
      <c r="M123"/>
      <c r="N123"/>
      <c r="O123"/>
      <c r="P123"/>
      <c r="Q123"/>
      <c r="R123" s="27" t="str">
        <f>$K$18</f>
        <v/>
      </c>
      <c r="S123" s="29">
        <f>$L$18</f>
        <v>0</v>
      </c>
      <c r="T123" s="40"/>
      <c r="U123" s="4"/>
      <c r="V123" s="4"/>
      <c r="W123" s="17"/>
      <c r="X123" s="17"/>
      <c r="Z123" s="2"/>
      <c r="AA123" s="2"/>
      <c r="AB123" s="2"/>
      <c r="AD123" s="2"/>
      <c r="AE123" s="2"/>
      <c r="AF123" s="2"/>
      <c r="AG123" s="2"/>
      <c r="AH123" s="2"/>
      <c r="AL123" s="26"/>
      <c r="AM123" s="26"/>
      <c r="AN123" s="26"/>
      <c r="AO123" s="26"/>
      <c r="AP123" s="26"/>
      <c r="AT123" s="5"/>
      <c r="AW123" s="2"/>
      <c r="AX123" s="2"/>
      <c r="AY123" s="2"/>
      <c r="AZ123" s="2"/>
      <c r="BA123" s="2"/>
      <c r="BB123" s="2"/>
      <c r="BC123" s="2"/>
    </row>
    <row r="124" spans="1:55" s="1" customFormat="1" ht="20.25" customHeight="1" x14ac:dyDescent="0.25">
      <c r="A124" s="101" t="s">
        <v>55</v>
      </c>
      <c r="B124"/>
      <c r="C124"/>
      <c r="D124"/>
      <c r="E124"/>
      <c r="F124"/>
      <c r="G124"/>
      <c r="H124"/>
      <c r="I124"/>
      <c r="J124"/>
      <c r="K124"/>
      <c r="L124"/>
      <c r="M124"/>
      <c r="N124"/>
      <c r="O124"/>
      <c r="P124"/>
      <c r="Q124"/>
      <c r="R124" s="27" t="str">
        <f>$B$43</f>
        <v/>
      </c>
      <c r="S124" s="29">
        <f>$C$43</f>
        <v>0</v>
      </c>
      <c r="T124" s="40"/>
      <c r="U124" s="4"/>
      <c r="V124" s="4"/>
      <c r="W124" s="17"/>
      <c r="X124" s="17"/>
      <c r="Z124" s="2"/>
      <c r="AA124" s="2"/>
      <c r="AB124" s="2"/>
      <c r="AD124" s="2"/>
      <c r="AE124" s="2"/>
      <c r="AF124" s="2"/>
      <c r="AG124" s="2"/>
      <c r="AH124" s="2"/>
      <c r="AL124" s="26"/>
      <c r="AM124" s="26"/>
      <c r="AN124" s="26"/>
      <c r="AO124" s="26"/>
      <c r="AP124" s="26"/>
      <c r="AT124" s="5"/>
      <c r="AW124" s="2"/>
      <c r="AX124" s="2"/>
      <c r="AY124" s="2"/>
      <c r="AZ124" s="2"/>
      <c r="BA124" s="2"/>
      <c r="BB124" s="2"/>
      <c r="BC124" s="2"/>
    </row>
    <row r="125" spans="1:55" s="1" customFormat="1" ht="20.25" customHeight="1" x14ac:dyDescent="0.25">
      <c r="A125" s="101" t="s">
        <v>55</v>
      </c>
      <c r="B125"/>
      <c r="C125"/>
      <c r="D125"/>
      <c r="E125"/>
      <c r="F125"/>
      <c r="G125"/>
      <c r="H125"/>
      <c r="I125"/>
      <c r="J125"/>
      <c r="K125"/>
      <c r="L125"/>
      <c r="M125"/>
      <c r="N125"/>
      <c r="O125"/>
      <c r="P125"/>
      <c r="Q125"/>
      <c r="R125" s="27" t="str">
        <f>$E$68</f>
        <v/>
      </c>
      <c r="S125" s="29">
        <f>$F$68</f>
        <v>0</v>
      </c>
      <c r="T125" s="16"/>
      <c r="U125" s="4"/>
      <c r="V125" s="4"/>
      <c r="W125" s="17"/>
      <c r="X125" s="17"/>
      <c r="Z125" s="2"/>
      <c r="AA125" s="2"/>
      <c r="AB125" s="2"/>
      <c r="AD125" s="2"/>
      <c r="AE125" s="2"/>
      <c r="AF125" s="2"/>
      <c r="AG125" s="2"/>
      <c r="AH125" s="2"/>
      <c r="AL125" s="26"/>
      <c r="AM125" s="26"/>
      <c r="AN125" s="26"/>
      <c r="AO125" s="26"/>
      <c r="AP125" s="26"/>
      <c r="AT125" s="5"/>
      <c r="AW125" s="2"/>
      <c r="AX125" s="2"/>
      <c r="AY125" s="2"/>
      <c r="AZ125" s="2"/>
      <c r="BA125" s="2"/>
      <c r="BB125" s="2"/>
      <c r="BC125" s="2"/>
    </row>
    <row r="126" spans="1:55" s="1" customFormat="1" ht="20.25" customHeight="1" x14ac:dyDescent="0.25">
      <c r="A126" s="101" t="s">
        <v>55</v>
      </c>
      <c r="B126"/>
      <c r="C126"/>
      <c r="D126"/>
      <c r="E126"/>
      <c r="F126"/>
      <c r="G126"/>
      <c r="H126"/>
      <c r="I126"/>
      <c r="J126"/>
      <c r="K126"/>
      <c r="L126"/>
      <c r="M126"/>
      <c r="N126"/>
      <c r="O126"/>
      <c r="P126"/>
      <c r="Q126"/>
      <c r="R126" s="27" t="str">
        <f>$H$69</f>
        <v/>
      </c>
      <c r="S126" s="29">
        <f>$I$69</f>
        <v>0</v>
      </c>
      <c r="T126" s="40"/>
      <c r="U126" s="4"/>
      <c r="V126" s="4"/>
      <c r="W126" s="17"/>
      <c r="X126" s="17"/>
      <c r="Z126" s="2"/>
      <c r="AA126" s="2"/>
      <c r="AB126" s="2"/>
      <c r="AD126" s="2"/>
      <c r="AE126" s="2"/>
      <c r="AF126" s="2"/>
      <c r="AG126" s="2"/>
      <c r="AH126" s="2"/>
      <c r="AL126" s="26"/>
      <c r="AM126" s="26"/>
      <c r="AN126" s="26"/>
      <c r="AO126" s="26"/>
      <c r="AP126" s="26"/>
      <c r="AT126" s="5"/>
      <c r="AW126" s="2"/>
      <c r="AX126" s="2"/>
      <c r="AY126" s="2"/>
      <c r="AZ126" s="2"/>
      <c r="BA126" s="2"/>
      <c r="BB126" s="2"/>
      <c r="BC126" s="2"/>
    </row>
    <row r="127" spans="1:55" s="1" customFormat="1" ht="20.25" customHeight="1" x14ac:dyDescent="0.25">
      <c r="A127" s="101" t="s">
        <v>55</v>
      </c>
      <c r="B127"/>
      <c r="C127"/>
      <c r="D127"/>
      <c r="E127"/>
      <c r="F127"/>
      <c r="G127"/>
      <c r="H127"/>
      <c r="I127"/>
      <c r="J127"/>
      <c r="K127"/>
      <c r="L127"/>
      <c r="M127"/>
      <c r="N127"/>
      <c r="O127"/>
      <c r="P127"/>
      <c r="Q127"/>
      <c r="R127" s="27" t="str">
        <f>$B$19</f>
        <v/>
      </c>
      <c r="S127" s="29">
        <f>$C$19</f>
        <v>0</v>
      </c>
      <c r="T127" s="40"/>
      <c r="U127" s="4"/>
      <c r="V127" s="4"/>
      <c r="W127" s="17"/>
      <c r="X127" s="17"/>
      <c r="Z127" s="2"/>
      <c r="AA127" s="2"/>
      <c r="AB127" s="2"/>
      <c r="AD127" s="2"/>
      <c r="AE127" s="2"/>
      <c r="AF127" s="2"/>
      <c r="AG127" s="2"/>
      <c r="AH127" s="2"/>
      <c r="AL127" s="26"/>
      <c r="AM127" s="26"/>
      <c r="AN127" s="26"/>
      <c r="AO127" s="26"/>
      <c r="AP127" s="26"/>
      <c r="AT127" s="5"/>
      <c r="AW127" s="2"/>
      <c r="AX127" s="2"/>
      <c r="AY127" s="2"/>
      <c r="AZ127" s="2"/>
      <c r="BA127" s="2"/>
      <c r="BB127" s="2"/>
      <c r="BC127" s="2"/>
    </row>
    <row r="128" spans="1:55" s="1" customFormat="1" ht="20.25" customHeight="1" x14ac:dyDescent="0.25">
      <c r="A128" s="101" t="s">
        <v>55</v>
      </c>
      <c r="B128"/>
      <c r="C128"/>
      <c r="D128"/>
      <c r="E128"/>
      <c r="F128"/>
      <c r="G128"/>
      <c r="H128"/>
      <c r="I128"/>
      <c r="J128"/>
      <c r="K128"/>
      <c r="L128"/>
      <c r="M128"/>
      <c r="N128"/>
      <c r="O128"/>
      <c r="P128"/>
      <c r="Q128"/>
      <c r="R128" s="27" t="str">
        <f>$E$44</f>
        <v/>
      </c>
      <c r="S128" s="29">
        <f>$F$44</f>
        <v>0</v>
      </c>
      <c r="T128" s="16"/>
      <c r="U128" s="17"/>
      <c r="V128" s="17"/>
      <c r="W128" s="17"/>
      <c r="X128" s="17"/>
      <c r="Z128" s="2"/>
      <c r="AA128" s="2"/>
      <c r="AB128" s="2"/>
      <c r="AD128" s="2"/>
      <c r="AE128" s="2"/>
      <c r="AF128" s="2"/>
      <c r="AG128" s="2"/>
      <c r="AH128" s="2"/>
      <c r="AL128" s="26"/>
      <c r="AM128" s="26"/>
      <c r="AN128" s="26"/>
      <c r="AO128" s="26"/>
      <c r="AP128" s="26"/>
      <c r="AT128" s="5"/>
      <c r="AW128" s="2"/>
      <c r="AX128" s="2"/>
      <c r="AY128" s="2"/>
      <c r="AZ128" s="2"/>
      <c r="BA128" s="2"/>
      <c r="BB128" s="2"/>
      <c r="BC128" s="2"/>
    </row>
    <row r="129" spans="1:55" s="1" customFormat="1" ht="20.25" customHeight="1" x14ac:dyDescent="0.25">
      <c r="A129" s="101" t="s">
        <v>55</v>
      </c>
      <c r="B129"/>
      <c r="C129"/>
      <c r="D129"/>
      <c r="E129"/>
      <c r="F129"/>
      <c r="G129"/>
      <c r="H129"/>
      <c r="I129"/>
      <c r="J129"/>
      <c r="K129"/>
      <c r="L129"/>
      <c r="M129"/>
      <c r="N129"/>
      <c r="O129"/>
      <c r="P129"/>
      <c r="Q129"/>
      <c r="R129" s="27" t="str">
        <f>$B$69</f>
        <v/>
      </c>
      <c r="S129" s="29">
        <f>$C$69</f>
        <v>0</v>
      </c>
      <c r="T129" s="40"/>
      <c r="U129" s="17"/>
      <c r="V129" s="17"/>
      <c r="W129" s="17"/>
      <c r="X129" s="17"/>
      <c r="Z129" s="2"/>
      <c r="AA129" s="2"/>
      <c r="AB129" s="2"/>
      <c r="AD129" s="2"/>
      <c r="AE129" s="2"/>
      <c r="AF129" s="2"/>
      <c r="AG129" s="2"/>
      <c r="AH129" s="2"/>
      <c r="AL129" s="26"/>
      <c r="AM129" s="26"/>
      <c r="AN129" s="26"/>
      <c r="AO129" s="26"/>
      <c r="AP129" s="26"/>
      <c r="AT129" s="5"/>
      <c r="AW129" s="2"/>
      <c r="AX129" s="2"/>
      <c r="AY129" s="2"/>
      <c r="AZ129" s="2"/>
      <c r="BA129" s="2"/>
      <c r="BB129" s="2"/>
      <c r="BC129" s="2"/>
    </row>
    <row r="130" spans="1:55" s="1" customFormat="1" ht="20.25" customHeight="1" x14ac:dyDescent="0.25">
      <c r="A130" s="101" t="s">
        <v>55</v>
      </c>
      <c r="B130"/>
      <c r="C130"/>
      <c r="D130"/>
      <c r="E130"/>
      <c r="F130"/>
      <c r="G130"/>
      <c r="H130"/>
      <c r="I130"/>
      <c r="J130"/>
      <c r="K130"/>
      <c r="L130"/>
      <c r="M130"/>
      <c r="N130"/>
      <c r="O130"/>
      <c r="P130"/>
      <c r="Q130"/>
      <c r="R130" s="27" t="str">
        <f>$H$44</f>
        <v/>
      </c>
      <c r="S130" s="29">
        <f>$I$44</f>
        <v>0</v>
      </c>
      <c r="T130" s="40"/>
      <c r="U130" s="17"/>
      <c r="V130" s="17"/>
      <c r="W130" s="17"/>
      <c r="X130" s="17"/>
      <c r="Z130" s="2"/>
      <c r="AA130" s="2"/>
      <c r="AB130" s="2"/>
      <c r="AD130" s="2"/>
      <c r="AE130" s="2"/>
      <c r="AF130" s="2"/>
      <c r="AG130" s="2"/>
      <c r="AH130" s="2"/>
      <c r="AL130" s="26"/>
      <c r="AM130" s="26"/>
      <c r="AN130" s="26"/>
      <c r="AO130" s="26"/>
      <c r="AP130" s="26"/>
      <c r="AT130" s="5"/>
      <c r="AW130" s="2"/>
      <c r="AX130" s="2"/>
      <c r="AY130" s="2"/>
      <c r="AZ130" s="2"/>
      <c r="BA130" s="2"/>
      <c r="BB130" s="2"/>
      <c r="BC130" s="2"/>
    </row>
    <row r="131" spans="1:55" s="1" customFormat="1" ht="20.25" customHeight="1" x14ac:dyDescent="0.25">
      <c r="A131" s="101" t="s">
        <v>55</v>
      </c>
      <c r="B131"/>
      <c r="C131"/>
      <c r="D131"/>
      <c r="E131"/>
      <c r="F131"/>
      <c r="G131"/>
      <c r="H131"/>
      <c r="I131"/>
      <c r="J131"/>
      <c r="K131"/>
      <c r="L131"/>
      <c r="M131"/>
      <c r="N131"/>
      <c r="O131"/>
      <c r="P131"/>
      <c r="Q131"/>
      <c r="R131" s="27" t="str">
        <f>$E$19</f>
        <v/>
      </c>
      <c r="S131" s="29">
        <f>$F$19</f>
        <v>0</v>
      </c>
      <c r="T131" s="16"/>
      <c r="U131" s="17"/>
      <c r="V131" s="17"/>
      <c r="W131" s="17"/>
      <c r="X131" s="17"/>
      <c r="Z131" s="2"/>
      <c r="AA131" s="2"/>
      <c r="AB131" s="2"/>
      <c r="AD131" s="2"/>
      <c r="AE131" s="2"/>
      <c r="AF131" s="2"/>
      <c r="AG131" s="2"/>
      <c r="AH131" s="2"/>
      <c r="AL131" s="26"/>
      <c r="AM131" s="26"/>
      <c r="AN131" s="26"/>
      <c r="AO131" s="26"/>
      <c r="AP131" s="26"/>
      <c r="AT131" s="5"/>
      <c r="AW131" s="2"/>
      <c r="AX131" s="2"/>
      <c r="AY131" s="2"/>
      <c r="AZ131" s="2"/>
      <c r="BA131" s="2"/>
      <c r="BB131" s="2"/>
      <c r="BC131" s="2"/>
    </row>
    <row r="132" spans="1:55" s="1" customFormat="1" ht="20.25" customHeight="1" x14ac:dyDescent="0.25">
      <c r="A132" s="101" t="s">
        <v>55</v>
      </c>
      <c r="B132"/>
      <c r="C132"/>
      <c r="D132"/>
      <c r="E132"/>
      <c r="F132"/>
      <c r="G132"/>
      <c r="H132"/>
      <c r="I132"/>
      <c r="J132"/>
      <c r="K132"/>
      <c r="L132"/>
      <c r="M132"/>
      <c r="N132"/>
      <c r="O132"/>
      <c r="P132"/>
      <c r="Q132"/>
      <c r="R132" s="27" t="str">
        <f>$K$44</f>
        <v/>
      </c>
      <c r="S132" s="29">
        <f>$L$44</f>
        <v>0</v>
      </c>
      <c r="T132" s="40"/>
      <c r="U132" s="17"/>
      <c r="V132" s="17"/>
      <c r="W132" s="17"/>
      <c r="X132" s="17"/>
      <c r="Z132" s="2"/>
      <c r="AA132" s="2"/>
      <c r="AB132" s="2"/>
      <c r="AD132" s="2"/>
      <c r="AE132" s="2"/>
      <c r="AF132" s="2"/>
      <c r="AG132" s="2"/>
      <c r="AH132" s="2"/>
      <c r="AL132" s="26"/>
      <c r="AM132" s="26"/>
      <c r="AN132" s="26"/>
      <c r="AO132" s="26"/>
      <c r="AP132" s="26"/>
      <c r="AT132" s="5"/>
      <c r="AW132" s="2"/>
      <c r="AX132" s="2"/>
      <c r="AY132" s="2"/>
      <c r="AZ132" s="2"/>
      <c r="BA132" s="2"/>
      <c r="BB132" s="2"/>
      <c r="BC132" s="2"/>
    </row>
    <row r="133" spans="1:55" s="1" customFormat="1" ht="20.25" customHeight="1" x14ac:dyDescent="0.25">
      <c r="A133" s="101" t="s">
        <v>55</v>
      </c>
      <c r="B133"/>
      <c r="C133"/>
      <c r="D133"/>
      <c r="E133"/>
      <c r="F133"/>
      <c r="G133"/>
      <c r="H133"/>
      <c r="I133"/>
      <c r="J133"/>
      <c r="K133"/>
      <c r="L133"/>
      <c r="M133"/>
      <c r="N133"/>
      <c r="O133"/>
      <c r="P133"/>
      <c r="Q133"/>
      <c r="R133" s="27" t="str">
        <f>$K$69</f>
        <v/>
      </c>
      <c r="S133" s="29">
        <f>$L$69</f>
        <v>0</v>
      </c>
      <c r="T133" s="40"/>
      <c r="U133" s="17"/>
      <c r="V133" s="17"/>
      <c r="W133" s="17"/>
      <c r="X133" s="17"/>
      <c r="Z133" s="2"/>
      <c r="AA133" s="2"/>
      <c r="AB133" s="2"/>
      <c r="AD133" s="2"/>
      <c r="AE133" s="2"/>
      <c r="AF133" s="2"/>
      <c r="AG133" s="2"/>
      <c r="AH133" s="2"/>
      <c r="AL133" s="26"/>
      <c r="AM133" s="26"/>
      <c r="AN133" s="26"/>
      <c r="AO133" s="26"/>
      <c r="AP133" s="26"/>
      <c r="AT133" s="5"/>
      <c r="AW133" s="2"/>
      <c r="AX133" s="2"/>
      <c r="AY133" s="2"/>
      <c r="AZ133" s="2"/>
      <c r="BA133" s="2"/>
      <c r="BB133" s="2"/>
      <c r="BC133" s="2"/>
    </row>
    <row r="134" spans="1:55" s="1" customFormat="1" ht="20.25" customHeight="1" x14ac:dyDescent="0.25">
      <c r="A134" s="101" t="s">
        <v>55</v>
      </c>
      <c r="B134"/>
      <c r="C134"/>
      <c r="D134"/>
      <c r="E134"/>
      <c r="F134"/>
      <c r="G134"/>
      <c r="H134"/>
      <c r="I134"/>
      <c r="J134"/>
      <c r="K134"/>
      <c r="L134"/>
      <c r="M134"/>
      <c r="N134"/>
      <c r="O134"/>
      <c r="P134"/>
      <c r="Q134"/>
      <c r="R134" s="27" t="str">
        <f>$H$19</f>
        <v/>
      </c>
      <c r="S134" s="29">
        <f>$I$19</f>
        <v>0</v>
      </c>
      <c r="T134" s="16"/>
      <c r="U134" s="17"/>
      <c r="V134" s="17"/>
      <c r="W134" s="17"/>
      <c r="X134" s="17"/>
      <c r="Z134" s="2"/>
      <c r="AA134" s="2"/>
      <c r="AB134" s="2"/>
      <c r="AD134" s="2"/>
      <c r="AE134" s="2"/>
      <c r="AF134" s="2"/>
      <c r="AG134" s="2"/>
      <c r="AH134" s="2"/>
      <c r="AT134" s="5"/>
      <c r="AW134" s="2"/>
      <c r="AX134" s="2"/>
      <c r="AY134" s="2"/>
      <c r="AZ134" s="2"/>
      <c r="BA134" s="2"/>
      <c r="BB134" s="2"/>
      <c r="BC134" s="2"/>
    </row>
    <row r="135" spans="1:55" s="1" customFormat="1" ht="20.25" customHeight="1" x14ac:dyDescent="0.25">
      <c r="A135" s="101" t="s">
        <v>55</v>
      </c>
      <c r="B135"/>
      <c r="C135"/>
      <c r="D135"/>
      <c r="E135"/>
      <c r="F135"/>
      <c r="G135"/>
      <c r="H135"/>
      <c r="I135"/>
      <c r="J135"/>
      <c r="K135"/>
      <c r="L135"/>
      <c r="M135"/>
      <c r="N135"/>
      <c r="O135"/>
      <c r="P135"/>
      <c r="Q135"/>
      <c r="R135" s="27" t="str">
        <f>$B$44</f>
        <v/>
      </c>
      <c r="S135" s="29">
        <f>$C$44</f>
        <v>0</v>
      </c>
      <c r="T135" s="40"/>
      <c r="U135" s="17"/>
      <c r="V135" s="17"/>
      <c r="W135" s="17"/>
      <c r="X135" s="17"/>
      <c r="Z135" s="2"/>
      <c r="AA135" s="2"/>
      <c r="AB135" s="2"/>
      <c r="AD135" s="2"/>
      <c r="AE135" s="2"/>
      <c r="AF135" s="2"/>
      <c r="AG135" s="2"/>
      <c r="AH135" s="2"/>
      <c r="AT135" s="5"/>
      <c r="AW135" s="2"/>
      <c r="AX135" s="2"/>
      <c r="AY135" s="2"/>
      <c r="AZ135" s="2"/>
      <c r="BA135" s="2"/>
      <c r="BB135" s="2"/>
      <c r="BC135" s="2"/>
    </row>
    <row r="136" spans="1:55" s="1" customFormat="1" ht="20.25" customHeight="1" x14ac:dyDescent="0.25">
      <c r="A136" s="101" t="s">
        <v>55</v>
      </c>
      <c r="B136"/>
      <c r="C136"/>
      <c r="D136"/>
      <c r="E136"/>
      <c r="F136"/>
      <c r="G136"/>
      <c r="H136"/>
      <c r="I136"/>
      <c r="J136"/>
      <c r="K136"/>
      <c r="L136"/>
      <c r="M136"/>
      <c r="N136"/>
      <c r="O136"/>
      <c r="P136"/>
      <c r="Q136"/>
      <c r="R136" s="27" t="str">
        <f>$K$19</f>
        <v/>
      </c>
      <c r="S136" s="29">
        <f>$L$19</f>
        <v>0</v>
      </c>
      <c r="T136" s="40"/>
      <c r="U136" s="17"/>
      <c r="V136" s="17"/>
      <c r="W136" s="17"/>
      <c r="X136" s="17"/>
      <c r="Z136" s="2"/>
      <c r="AA136" s="2"/>
      <c r="AB136" s="2"/>
      <c r="AD136" s="2"/>
      <c r="AE136" s="2"/>
      <c r="AF136" s="2"/>
      <c r="AG136" s="2"/>
      <c r="AH136" s="2"/>
      <c r="AT136" s="5"/>
      <c r="AW136" s="2"/>
      <c r="AX136" s="2"/>
      <c r="AY136" s="2"/>
      <c r="AZ136" s="2"/>
      <c r="BA136" s="2"/>
      <c r="BB136" s="2"/>
      <c r="BC136" s="2"/>
    </row>
    <row r="137" spans="1:55" s="1" customFormat="1" ht="20.25" customHeight="1" x14ac:dyDescent="0.25">
      <c r="A137" s="101" t="s">
        <v>55</v>
      </c>
      <c r="B137"/>
      <c r="C137"/>
      <c r="D137"/>
      <c r="E137"/>
      <c r="F137"/>
      <c r="G137"/>
      <c r="H137"/>
      <c r="I137"/>
      <c r="J137"/>
      <c r="K137"/>
      <c r="L137"/>
      <c r="M137"/>
      <c r="N137"/>
      <c r="O137"/>
      <c r="P137"/>
      <c r="Q137"/>
      <c r="R137" s="27" t="str">
        <f>$E$69</f>
        <v/>
      </c>
      <c r="S137" s="29">
        <f>$F$69</f>
        <v>0</v>
      </c>
      <c r="T137" s="16"/>
      <c r="U137" s="17"/>
      <c r="V137" s="17"/>
      <c r="W137" s="17"/>
      <c r="X137" s="17"/>
      <c r="Z137" s="2"/>
      <c r="AA137" s="2"/>
      <c r="AB137" s="2"/>
      <c r="AD137" s="2"/>
      <c r="AE137" s="2"/>
      <c r="AF137" s="2"/>
      <c r="AG137" s="2"/>
      <c r="AH137" s="2"/>
      <c r="AT137" s="5"/>
      <c r="AW137" s="2"/>
      <c r="AX137" s="2"/>
      <c r="AY137" s="2"/>
      <c r="AZ137" s="2"/>
      <c r="BA137" s="2"/>
      <c r="BB137" s="2"/>
      <c r="BC137" s="2"/>
    </row>
    <row r="138" spans="1:55" s="1" customFormat="1" ht="20.25" customHeight="1" x14ac:dyDescent="0.25">
      <c r="A138" s="101" t="s">
        <v>55</v>
      </c>
      <c r="B138"/>
      <c r="C138"/>
      <c r="D138"/>
      <c r="E138"/>
      <c r="F138"/>
      <c r="G138"/>
      <c r="H138"/>
      <c r="I138"/>
      <c r="J138"/>
      <c r="K138"/>
      <c r="L138"/>
      <c r="M138"/>
      <c r="N138"/>
      <c r="O138"/>
      <c r="P138"/>
      <c r="Q138"/>
      <c r="R138" s="27" t="str">
        <f>$H$70</f>
        <v/>
      </c>
      <c r="S138" s="29">
        <f>$I$70</f>
        <v>0</v>
      </c>
      <c r="T138" s="40"/>
      <c r="U138" s="17"/>
      <c r="V138" s="17"/>
      <c r="W138" s="17"/>
      <c r="X138" s="17"/>
      <c r="Z138" s="2"/>
      <c r="AA138" s="2"/>
      <c r="AB138" s="2"/>
      <c r="AD138" s="2"/>
      <c r="AE138" s="2"/>
      <c r="AF138" s="2"/>
      <c r="AG138" s="2"/>
      <c r="AH138" s="2"/>
      <c r="AT138" s="5"/>
      <c r="AW138" s="2"/>
      <c r="AX138" s="2"/>
      <c r="AY138" s="2"/>
      <c r="AZ138" s="2"/>
      <c r="BA138" s="2"/>
      <c r="BB138" s="2"/>
      <c r="BC138" s="2"/>
    </row>
    <row r="139" spans="1:55" s="1" customFormat="1" ht="20.25" customHeight="1" x14ac:dyDescent="0.25">
      <c r="A139" s="101" t="s">
        <v>55</v>
      </c>
      <c r="B139"/>
      <c r="C139"/>
      <c r="D139"/>
      <c r="E139"/>
      <c r="F139"/>
      <c r="G139"/>
      <c r="H139"/>
      <c r="I139"/>
      <c r="J139"/>
      <c r="K139"/>
      <c r="L139"/>
      <c r="M139"/>
      <c r="N139"/>
      <c r="O139"/>
      <c r="P139"/>
      <c r="Q139"/>
      <c r="R139" s="27" t="str">
        <f>$E$45</f>
        <v/>
      </c>
      <c r="S139" s="29">
        <f>$F$45</f>
        <v>0</v>
      </c>
      <c r="T139" s="40"/>
      <c r="U139" s="17"/>
      <c r="V139" s="17"/>
      <c r="W139" s="17"/>
      <c r="X139" s="17"/>
      <c r="Z139" s="2"/>
      <c r="AA139" s="2"/>
      <c r="AB139" s="2"/>
      <c r="AD139" s="2"/>
      <c r="AE139" s="2"/>
      <c r="AF139" s="2"/>
      <c r="AG139" s="2"/>
      <c r="AH139" s="2"/>
      <c r="AT139" s="5"/>
      <c r="AW139" s="2"/>
      <c r="AX139" s="2"/>
      <c r="AY139" s="2"/>
      <c r="AZ139" s="2"/>
      <c r="BA139" s="2"/>
      <c r="BB139" s="2"/>
      <c r="BC139" s="2"/>
    </row>
    <row r="140" spans="1:55" s="1" customFormat="1" ht="20.25" customHeight="1" x14ac:dyDescent="0.25">
      <c r="A140" s="101" t="s">
        <v>55</v>
      </c>
      <c r="B140"/>
      <c r="C140"/>
      <c r="D140"/>
      <c r="E140"/>
      <c r="F140"/>
      <c r="G140"/>
      <c r="H140"/>
      <c r="I140"/>
      <c r="J140"/>
      <c r="K140"/>
      <c r="L140"/>
      <c r="M140"/>
      <c r="N140"/>
      <c r="O140"/>
      <c r="P140"/>
      <c r="Q140"/>
      <c r="R140" s="27" t="str">
        <f>$B$20</f>
        <v/>
      </c>
      <c r="S140" s="29">
        <f>$C$20</f>
        <v>0</v>
      </c>
      <c r="T140" s="16"/>
      <c r="U140" s="17"/>
      <c r="V140" s="17"/>
      <c r="W140" s="17"/>
      <c r="X140" s="17"/>
      <c r="Z140" s="2"/>
      <c r="AA140" s="2"/>
      <c r="AB140" s="2"/>
      <c r="AD140" s="2"/>
      <c r="AE140" s="2"/>
      <c r="AF140" s="2"/>
      <c r="AG140" s="2"/>
      <c r="AH140" s="2"/>
      <c r="AT140" s="5"/>
      <c r="AW140" s="2"/>
      <c r="AX140" s="2"/>
      <c r="AY140" s="2"/>
      <c r="AZ140" s="2"/>
      <c r="BA140" s="2"/>
      <c r="BB140" s="2"/>
      <c r="BC140" s="2"/>
    </row>
    <row r="141" spans="1:55" s="1" customFormat="1" ht="20.25" customHeight="1" x14ac:dyDescent="0.25">
      <c r="A141" s="101" t="s">
        <v>55</v>
      </c>
      <c r="B141"/>
      <c r="C141"/>
      <c r="D141"/>
      <c r="E141"/>
      <c r="F141"/>
      <c r="G141"/>
      <c r="H141"/>
      <c r="I141"/>
      <c r="J141"/>
      <c r="K141"/>
      <c r="L141"/>
      <c r="M141"/>
      <c r="N141"/>
      <c r="O141"/>
      <c r="P141"/>
      <c r="Q141"/>
      <c r="R141" s="27" t="str">
        <f>$B$70</f>
        <v/>
      </c>
      <c r="S141" s="29">
        <f>$C$70</f>
        <v>0</v>
      </c>
      <c r="T141" s="40"/>
      <c r="U141" s="17"/>
      <c r="V141" s="17"/>
      <c r="W141" s="17"/>
      <c r="X141" s="17"/>
      <c r="Z141" s="2"/>
      <c r="AA141" s="2"/>
      <c r="AB141" s="2"/>
      <c r="AD141" s="2"/>
      <c r="AE141" s="2"/>
      <c r="AF141" s="2"/>
      <c r="AG141" s="2"/>
      <c r="AH141" s="2"/>
      <c r="AT141" s="5"/>
      <c r="AW141" s="2"/>
      <c r="AX141" s="2"/>
      <c r="AY141" s="2"/>
      <c r="AZ141" s="2"/>
      <c r="BA141" s="2"/>
      <c r="BB141" s="2"/>
      <c r="BC141" s="2"/>
    </row>
    <row r="142" spans="1:55" s="1" customFormat="1" ht="20.25" customHeight="1" x14ac:dyDescent="0.25">
      <c r="A142" s="101" t="s">
        <v>55</v>
      </c>
      <c r="B142"/>
      <c r="C142"/>
      <c r="D142"/>
      <c r="E142"/>
      <c r="F142"/>
      <c r="G142"/>
      <c r="H142"/>
      <c r="I142"/>
      <c r="J142"/>
      <c r="K142"/>
      <c r="L142"/>
      <c r="M142"/>
      <c r="N142"/>
      <c r="O142"/>
      <c r="P142"/>
      <c r="Q142"/>
      <c r="R142" s="27" t="str">
        <f>$E$20</f>
        <v/>
      </c>
      <c r="S142" s="29">
        <f>$F$20</f>
        <v>0</v>
      </c>
      <c r="T142" s="40"/>
      <c r="U142" s="17"/>
      <c r="V142" s="17"/>
      <c r="W142" s="17"/>
      <c r="X142" s="17"/>
      <c r="Z142" s="2"/>
      <c r="AA142" s="2"/>
      <c r="AB142" s="2"/>
      <c r="AD142" s="2"/>
      <c r="AE142" s="2"/>
      <c r="AF142" s="2"/>
      <c r="AG142" s="2"/>
      <c r="AH142" s="2"/>
      <c r="AT142" s="5"/>
      <c r="AW142" s="2"/>
      <c r="AX142" s="2"/>
      <c r="AY142" s="2"/>
      <c r="AZ142" s="2"/>
      <c r="BA142" s="2"/>
      <c r="BB142" s="2"/>
      <c r="BC142" s="2"/>
    </row>
    <row r="143" spans="1:55" s="1" customFormat="1" ht="20.25" customHeight="1" x14ac:dyDescent="0.25">
      <c r="A143" s="101" t="s">
        <v>55</v>
      </c>
      <c r="B143"/>
      <c r="C143"/>
      <c r="D143"/>
      <c r="E143"/>
      <c r="F143"/>
      <c r="G143"/>
      <c r="H143"/>
      <c r="I143"/>
      <c r="J143"/>
      <c r="K143"/>
      <c r="L143"/>
      <c r="M143"/>
      <c r="N143"/>
      <c r="O143"/>
      <c r="P143"/>
      <c r="Q143"/>
      <c r="R143" s="27" t="str">
        <f>$H$45</f>
        <v/>
      </c>
      <c r="S143" s="29">
        <f>$I$45</f>
        <v>0</v>
      </c>
      <c r="T143" s="16"/>
      <c r="U143" s="17"/>
      <c r="V143" s="17"/>
      <c r="W143" s="17"/>
      <c r="X143" s="17"/>
      <c r="Z143" s="2"/>
      <c r="AA143" s="2"/>
      <c r="AB143" s="2"/>
      <c r="AD143" s="2"/>
      <c r="AE143" s="2"/>
      <c r="AF143" s="2"/>
      <c r="AG143" s="2"/>
      <c r="AH143" s="2"/>
      <c r="AT143" s="5"/>
      <c r="AW143" s="2"/>
      <c r="AX143" s="2"/>
      <c r="AY143" s="2"/>
      <c r="AZ143" s="2"/>
      <c r="BA143" s="2"/>
      <c r="BB143" s="2"/>
      <c r="BC143" s="2"/>
    </row>
    <row r="144" spans="1:55" s="1" customFormat="1" ht="20.25" customHeight="1" x14ac:dyDescent="0.25">
      <c r="A144" s="101" t="s">
        <v>55</v>
      </c>
      <c r="B144"/>
      <c r="C144"/>
      <c r="D144"/>
      <c r="E144"/>
      <c r="F144"/>
      <c r="G144"/>
      <c r="H144"/>
      <c r="I144"/>
      <c r="J144"/>
      <c r="K144"/>
      <c r="L144"/>
      <c r="M144"/>
      <c r="N144"/>
      <c r="O144"/>
      <c r="P144"/>
      <c r="Q144"/>
      <c r="R144" s="27" t="str">
        <f>$K$45</f>
        <v/>
      </c>
      <c r="S144" s="29">
        <f>$L$45</f>
        <v>0</v>
      </c>
      <c r="T144" s="40"/>
      <c r="U144" s="17"/>
      <c r="V144" s="17"/>
      <c r="W144" s="17"/>
      <c r="X144" s="17"/>
      <c r="Z144" s="2"/>
      <c r="AA144" s="2"/>
      <c r="AB144" s="2"/>
      <c r="AD144" s="2"/>
      <c r="AE144" s="2"/>
      <c r="AF144" s="2"/>
      <c r="AG144" s="2"/>
      <c r="AH144" s="2"/>
      <c r="AT144" s="5"/>
      <c r="AW144" s="2"/>
      <c r="AX144" s="2"/>
      <c r="AY144" s="2"/>
      <c r="AZ144" s="2"/>
      <c r="BA144" s="2"/>
      <c r="BB144" s="2"/>
      <c r="BC144" s="2"/>
    </row>
    <row r="145" spans="1:55" s="1" customFormat="1" ht="20.25" customHeight="1" x14ac:dyDescent="0.25">
      <c r="A145" s="101" t="s">
        <v>55</v>
      </c>
      <c r="B145"/>
      <c r="C145"/>
      <c r="D145"/>
      <c r="E145"/>
      <c r="F145"/>
      <c r="G145"/>
      <c r="H145"/>
      <c r="I145"/>
      <c r="J145"/>
      <c r="K145"/>
      <c r="L145"/>
      <c r="M145"/>
      <c r="N145"/>
      <c r="O145"/>
      <c r="P145"/>
      <c r="Q145"/>
      <c r="R145" s="27" t="str">
        <f>$H$20</f>
        <v/>
      </c>
      <c r="S145" s="29">
        <f>$I$20</f>
        <v>0</v>
      </c>
      <c r="T145" s="40"/>
      <c r="U145" s="17"/>
      <c r="V145" s="17"/>
      <c r="W145" s="17"/>
      <c r="X145" s="17"/>
      <c r="Z145" s="2"/>
      <c r="AA145" s="2"/>
      <c r="AB145" s="2"/>
      <c r="AD145" s="2"/>
      <c r="AE145" s="2"/>
      <c r="AF145" s="2"/>
      <c r="AG145" s="2"/>
      <c r="AH145" s="2"/>
      <c r="AT145" s="5"/>
      <c r="AW145" s="2"/>
      <c r="AX145" s="2"/>
      <c r="AY145" s="2"/>
      <c r="AZ145" s="2"/>
      <c r="BA145" s="2"/>
      <c r="BB145" s="2"/>
      <c r="BC145" s="2"/>
    </row>
    <row r="146" spans="1:55" s="1" customFormat="1" ht="20.25" customHeight="1" x14ac:dyDescent="0.25">
      <c r="A146" s="101" t="s">
        <v>55</v>
      </c>
      <c r="B146"/>
      <c r="C146"/>
      <c r="D146"/>
      <c r="E146"/>
      <c r="F146"/>
      <c r="G146"/>
      <c r="H146"/>
      <c r="I146"/>
      <c r="J146"/>
      <c r="K146"/>
      <c r="L146"/>
      <c r="M146"/>
      <c r="N146"/>
      <c r="O146"/>
      <c r="P146"/>
      <c r="Q146"/>
      <c r="R146" s="27" t="str">
        <f>$K$70</f>
        <v/>
      </c>
      <c r="S146" s="29">
        <f>$L$70</f>
        <v>0</v>
      </c>
      <c r="T146" s="16"/>
      <c r="U146" s="17"/>
      <c r="V146" s="17"/>
      <c r="W146" s="17"/>
      <c r="X146" s="17"/>
      <c r="Z146" s="2"/>
      <c r="AA146" s="2"/>
      <c r="AB146" s="2"/>
      <c r="AD146" s="2"/>
      <c r="AE146" s="2"/>
      <c r="AF146" s="2"/>
      <c r="AG146" s="2"/>
      <c r="AH146" s="2"/>
      <c r="AT146" s="5"/>
      <c r="AW146" s="2"/>
      <c r="AX146" s="2"/>
      <c r="AY146" s="2"/>
      <c r="AZ146" s="2"/>
      <c r="BA146" s="2"/>
      <c r="BB146" s="2"/>
      <c r="BC146" s="2"/>
    </row>
    <row r="147" spans="1:55" s="1" customFormat="1" ht="20.25" customHeight="1" x14ac:dyDescent="0.25">
      <c r="A147" s="101" t="s">
        <v>55</v>
      </c>
      <c r="B147"/>
      <c r="C147"/>
      <c r="D147"/>
      <c r="E147"/>
      <c r="F147"/>
      <c r="G147"/>
      <c r="H147"/>
      <c r="I147"/>
      <c r="J147"/>
      <c r="K147"/>
      <c r="L147"/>
      <c r="M147"/>
      <c r="N147"/>
      <c r="O147"/>
      <c r="P147"/>
      <c r="Q147"/>
      <c r="R147" s="27" t="str">
        <f>$B$45</f>
        <v/>
      </c>
      <c r="S147" s="29">
        <f>$C$45</f>
        <v>0</v>
      </c>
      <c r="T147" s="40"/>
      <c r="U147" s="17"/>
      <c r="V147" s="17"/>
      <c r="W147" s="17"/>
      <c r="X147" s="17"/>
      <c r="Z147" s="2"/>
      <c r="AA147" s="2"/>
      <c r="AB147" s="2"/>
      <c r="AD147" s="2"/>
      <c r="AE147" s="2"/>
      <c r="AF147" s="2"/>
      <c r="AG147" s="2"/>
      <c r="AH147" s="2"/>
      <c r="AT147" s="5"/>
      <c r="AW147" s="2"/>
      <c r="AX147" s="2"/>
      <c r="AY147" s="2"/>
      <c r="AZ147" s="2"/>
      <c r="BA147" s="2"/>
      <c r="BB147" s="2"/>
      <c r="BC147" s="2"/>
    </row>
    <row r="148" spans="1:55" s="1" customFormat="1" ht="20.25" customHeight="1" x14ac:dyDescent="0.25">
      <c r="A148" s="101" t="s">
        <v>55</v>
      </c>
      <c r="B148"/>
      <c r="C148"/>
      <c r="D148"/>
      <c r="E148"/>
      <c r="F148"/>
      <c r="G148"/>
      <c r="H148"/>
      <c r="I148"/>
      <c r="J148"/>
      <c r="K148"/>
      <c r="L148"/>
      <c r="M148"/>
      <c r="N148"/>
      <c r="O148"/>
      <c r="P148"/>
      <c r="Q148"/>
      <c r="R148" s="27" t="str">
        <f>$K$20</f>
        <v/>
      </c>
      <c r="S148" s="29">
        <f>$L$20</f>
        <v>0</v>
      </c>
      <c r="T148" s="40"/>
      <c r="U148" s="17"/>
      <c r="V148" s="17"/>
      <c r="W148" s="17"/>
      <c r="X148" s="17"/>
      <c r="Z148" s="2"/>
      <c r="AA148" s="2"/>
      <c r="AB148" s="2"/>
      <c r="AD148" s="2"/>
      <c r="AE148" s="2"/>
      <c r="AF148" s="2"/>
      <c r="AG148" s="2"/>
      <c r="AH148" s="2"/>
      <c r="AT148" s="5"/>
      <c r="AW148" s="2"/>
      <c r="AX148" s="2"/>
      <c r="AY148" s="2"/>
      <c r="AZ148" s="2"/>
      <c r="BA148" s="2"/>
      <c r="BB148" s="2"/>
      <c r="BC148" s="2"/>
    </row>
    <row r="149" spans="1:55" s="1" customFormat="1" ht="20.25" customHeight="1" x14ac:dyDescent="0.25">
      <c r="A149" s="101" t="s">
        <v>55</v>
      </c>
      <c r="B149"/>
      <c r="C149"/>
      <c r="D149"/>
      <c r="E149"/>
      <c r="F149"/>
      <c r="G149"/>
      <c r="H149"/>
      <c r="I149"/>
      <c r="J149"/>
      <c r="K149"/>
      <c r="L149"/>
      <c r="M149"/>
      <c r="N149"/>
      <c r="O149"/>
      <c r="P149"/>
      <c r="Q149"/>
      <c r="R149" s="27" t="str">
        <f>$E$70</f>
        <v/>
      </c>
      <c r="S149" s="29">
        <f>$F$70</f>
        <v>0</v>
      </c>
      <c r="T149" s="16"/>
      <c r="U149" s="17"/>
      <c r="V149" s="17"/>
      <c r="W149" s="17"/>
      <c r="X149" s="17"/>
      <c r="Z149" s="2"/>
      <c r="AA149" s="2"/>
      <c r="AB149" s="2"/>
      <c r="AD149" s="2"/>
      <c r="AE149" s="2"/>
      <c r="AF149" s="2"/>
      <c r="AG149" s="2"/>
      <c r="AH149" s="2"/>
      <c r="AT149" s="5"/>
      <c r="AW149" s="2"/>
      <c r="AX149" s="2"/>
      <c r="AY149" s="2"/>
      <c r="AZ149" s="2"/>
      <c r="BA149" s="2"/>
      <c r="BB149" s="2"/>
      <c r="BC149" s="2"/>
    </row>
    <row r="150" spans="1:55" s="1" customFormat="1" ht="20.25" customHeight="1" x14ac:dyDescent="0.25">
      <c r="A150" s="101" t="s">
        <v>55</v>
      </c>
      <c r="B150"/>
      <c r="C150"/>
      <c r="D150"/>
      <c r="E150"/>
      <c r="F150"/>
      <c r="G150"/>
      <c r="H150"/>
      <c r="I150"/>
      <c r="J150"/>
      <c r="K150"/>
      <c r="L150"/>
      <c r="M150"/>
      <c r="N150"/>
      <c r="O150"/>
      <c r="P150"/>
      <c r="Q150"/>
      <c r="R150" s="27" t="str">
        <f>$H$71</f>
        <v/>
      </c>
      <c r="S150" s="29">
        <f>$I$71</f>
        <v>0</v>
      </c>
      <c r="T150" s="40"/>
      <c r="U150" s="17"/>
      <c r="V150" s="17"/>
      <c r="W150" s="17"/>
      <c r="X150" s="17"/>
      <c r="Z150" s="2"/>
      <c r="AA150" s="2"/>
      <c r="AB150" s="2"/>
      <c r="AD150" s="2"/>
      <c r="AE150" s="2"/>
      <c r="AF150" s="2"/>
      <c r="AG150" s="2"/>
      <c r="AH150" s="2"/>
      <c r="AT150" s="5"/>
      <c r="AW150" s="2"/>
      <c r="AX150" s="2"/>
      <c r="AY150" s="2"/>
      <c r="AZ150" s="2"/>
      <c r="BA150" s="2"/>
      <c r="BB150" s="2"/>
      <c r="BC150" s="2"/>
    </row>
    <row r="151" spans="1:55" s="1" customFormat="1" ht="20.25" customHeight="1" x14ac:dyDescent="0.25">
      <c r="A151" s="101" t="s">
        <v>55</v>
      </c>
      <c r="B151"/>
      <c r="C151"/>
      <c r="D151"/>
      <c r="E151"/>
      <c r="F151"/>
      <c r="G151"/>
      <c r="H151"/>
      <c r="I151"/>
      <c r="J151"/>
      <c r="K151"/>
      <c r="L151"/>
      <c r="M151"/>
      <c r="N151"/>
      <c r="O151"/>
      <c r="P151"/>
      <c r="Q151"/>
      <c r="R151" s="27" t="str">
        <f>$E$46</f>
        <v/>
      </c>
      <c r="S151" s="29">
        <f>$F$46</f>
        <v>0</v>
      </c>
      <c r="T151" s="40"/>
      <c r="U151" s="17"/>
      <c r="V151" s="17"/>
      <c r="W151" s="17"/>
      <c r="X151" s="17"/>
      <c r="Z151" s="2"/>
      <c r="AA151" s="2"/>
      <c r="AB151" s="2"/>
      <c r="AD151" s="2"/>
      <c r="AE151" s="2"/>
      <c r="AF151" s="2"/>
      <c r="AG151" s="2"/>
      <c r="AH151" s="2"/>
      <c r="AT151" s="5"/>
      <c r="AW151" s="2"/>
      <c r="AX151" s="2"/>
      <c r="AY151" s="2"/>
      <c r="AZ151" s="2"/>
      <c r="BA151" s="2"/>
      <c r="BB151" s="2"/>
      <c r="BC151" s="2"/>
    </row>
    <row r="152" spans="1:55" s="1" customFormat="1" ht="20.25" customHeight="1" x14ac:dyDescent="0.25">
      <c r="A152" s="101" t="s">
        <v>55</v>
      </c>
      <c r="B152"/>
      <c r="C152"/>
      <c r="D152"/>
      <c r="E152"/>
      <c r="F152"/>
      <c r="G152"/>
      <c r="H152"/>
      <c r="I152"/>
      <c r="J152"/>
      <c r="K152"/>
      <c r="L152"/>
      <c r="M152"/>
      <c r="N152"/>
      <c r="O152"/>
      <c r="P152"/>
      <c r="Q152"/>
      <c r="R152" s="27" t="str">
        <f>$B$21</f>
        <v/>
      </c>
      <c r="S152" s="29">
        <f>$C$21</f>
        <v>0</v>
      </c>
      <c r="T152" s="16"/>
      <c r="U152" s="17"/>
      <c r="V152" s="17"/>
      <c r="W152" s="17"/>
      <c r="X152" s="17"/>
      <c r="Z152" s="2"/>
      <c r="AA152" s="2"/>
      <c r="AB152" s="2"/>
      <c r="AD152" s="2"/>
      <c r="AE152" s="2"/>
      <c r="AF152" s="2"/>
      <c r="AG152" s="2"/>
      <c r="AH152" s="2"/>
      <c r="AT152" s="5"/>
      <c r="AW152" s="2"/>
      <c r="AX152" s="2"/>
      <c r="AY152" s="2"/>
      <c r="AZ152" s="2"/>
      <c r="BA152" s="2"/>
      <c r="BB152" s="2"/>
      <c r="BC152" s="2"/>
    </row>
    <row r="153" spans="1:55" s="1" customFormat="1" ht="20.25" customHeight="1" x14ac:dyDescent="0.25">
      <c r="A153" s="101" t="s">
        <v>55</v>
      </c>
      <c r="B153"/>
      <c r="C153"/>
      <c r="D153"/>
      <c r="E153"/>
      <c r="F153"/>
      <c r="G153"/>
      <c r="H153"/>
      <c r="I153"/>
      <c r="J153"/>
      <c r="K153"/>
      <c r="L153"/>
      <c r="M153"/>
      <c r="N153"/>
      <c r="O153"/>
      <c r="P153"/>
      <c r="Q153"/>
      <c r="R153" s="27" t="str">
        <f>$H$46</f>
        <v/>
      </c>
      <c r="S153" s="29">
        <f>$I$46</f>
        <v>0</v>
      </c>
      <c r="T153" s="40"/>
      <c r="U153" s="17"/>
      <c r="V153" s="17"/>
      <c r="W153" s="17"/>
      <c r="X153" s="17"/>
      <c r="Z153" s="2"/>
      <c r="AA153" s="2"/>
      <c r="AB153" s="2"/>
      <c r="AD153" s="2"/>
      <c r="AE153" s="2"/>
      <c r="AF153" s="2"/>
      <c r="AG153" s="2"/>
      <c r="AH153" s="2"/>
      <c r="AT153" s="5"/>
      <c r="AW153" s="2"/>
      <c r="AX153" s="2"/>
      <c r="AY153" s="2"/>
      <c r="AZ153" s="2"/>
      <c r="BA153" s="2"/>
      <c r="BB153" s="2"/>
      <c r="BC153" s="2"/>
    </row>
    <row r="154" spans="1:55" s="1" customFormat="1" ht="20.25" customHeight="1" x14ac:dyDescent="0.25">
      <c r="A154" s="101" t="s">
        <v>55</v>
      </c>
      <c r="B154"/>
      <c r="C154"/>
      <c r="D154"/>
      <c r="E154"/>
      <c r="F154"/>
      <c r="G154"/>
      <c r="H154"/>
      <c r="I154"/>
      <c r="J154"/>
      <c r="K154"/>
      <c r="L154"/>
      <c r="M154"/>
      <c r="N154"/>
      <c r="O154"/>
      <c r="P154"/>
      <c r="Q154"/>
      <c r="R154" s="27" t="str">
        <f>$E$21</f>
        <v/>
      </c>
      <c r="S154" s="29">
        <f>$F$21</f>
        <v>0</v>
      </c>
      <c r="T154" s="40"/>
      <c r="U154" s="17"/>
      <c r="V154" s="17"/>
      <c r="W154" s="17"/>
      <c r="X154" s="17"/>
      <c r="Z154" s="2"/>
      <c r="AA154" s="2"/>
      <c r="AB154" s="2"/>
      <c r="AD154" s="2"/>
      <c r="AE154" s="2"/>
      <c r="AF154" s="2"/>
      <c r="AG154" s="2"/>
      <c r="AH154" s="2"/>
      <c r="AT154" s="5"/>
      <c r="AW154" s="2"/>
      <c r="AX154" s="2"/>
      <c r="AY154" s="2"/>
      <c r="AZ154" s="2"/>
      <c r="BA154" s="2"/>
      <c r="BB154" s="2"/>
      <c r="BC154" s="2"/>
    </row>
    <row r="155" spans="1:55" s="1" customFormat="1" ht="20.25" customHeight="1" x14ac:dyDescent="0.25">
      <c r="A155" s="101" t="s">
        <v>55</v>
      </c>
      <c r="B155"/>
      <c r="C155"/>
      <c r="D155"/>
      <c r="E155"/>
      <c r="F155"/>
      <c r="G155"/>
      <c r="H155"/>
      <c r="I155"/>
      <c r="J155"/>
      <c r="K155"/>
      <c r="L155"/>
      <c r="M155"/>
      <c r="N155"/>
      <c r="O155"/>
      <c r="P155"/>
      <c r="Q155"/>
      <c r="R155" s="27" t="str">
        <f>$B$71</f>
        <v/>
      </c>
      <c r="S155" s="29">
        <f>$C$71</f>
        <v>0</v>
      </c>
      <c r="T155" s="16"/>
      <c r="U155" s="17"/>
      <c r="V155" s="17"/>
      <c r="W155" s="17"/>
      <c r="X155" s="17"/>
      <c r="Z155" s="2"/>
      <c r="AA155" s="2"/>
      <c r="AB155" s="2"/>
      <c r="AD155" s="2"/>
      <c r="AE155" s="2"/>
      <c r="AF155" s="2"/>
      <c r="AG155" s="2"/>
      <c r="AH155" s="2"/>
      <c r="AT155" s="5"/>
      <c r="AW155" s="2"/>
      <c r="AX155" s="2"/>
      <c r="AY155" s="2"/>
      <c r="AZ155" s="2"/>
      <c r="BA155" s="2"/>
      <c r="BB155" s="2"/>
      <c r="BC155" s="2"/>
    </row>
    <row r="156" spans="1:55" s="1" customFormat="1" ht="20.25" customHeight="1" x14ac:dyDescent="0.25">
      <c r="A156" s="101" t="s">
        <v>55</v>
      </c>
      <c r="B156"/>
      <c r="C156"/>
      <c r="D156"/>
      <c r="E156"/>
      <c r="F156"/>
      <c r="G156"/>
      <c r="H156"/>
      <c r="I156"/>
      <c r="J156"/>
      <c r="K156"/>
      <c r="L156"/>
      <c r="M156"/>
      <c r="N156"/>
      <c r="O156"/>
      <c r="P156"/>
      <c r="Q156"/>
      <c r="R156" s="27" t="str">
        <f>$H$21</f>
        <v/>
      </c>
      <c r="S156" s="29">
        <f>$I$21</f>
        <v>0</v>
      </c>
      <c r="T156" s="40"/>
      <c r="U156" s="17"/>
      <c r="V156" s="17"/>
      <c r="W156" s="17"/>
      <c r="X156" s="17"/>
      <c r="Z156" s="2"/>
      <c r="AA156" s="2"/>
      <c r="AB156" s="2"/>
      <c r="AD156" s="2"/>
      <c r="AE156" s="2"/>
      <c r="AF156" s="2"/>
      <c r="AG156" s="2"/>
      <c r="AH156" s="2"/>
      <c r="AT156" s="5"/>
      <c r="AW156" s="2"/>
      <c r="AX156" s="2"/>
      <c r="AY156" s="2"/>
      <c r="AZ156" s="2"/>
      <c r="BA156" s="2"/>
      <c r="BB156" s="2"/>
      <c r="BC156" s="2"/>
    </row>
    <row r="157" spans="1:55" s="1" customFormat="1" ht="20.25" customHeight="1" x14ac:dyDescent="0.25">
      <c r="A157" s="101" t="s">
        <v>55</v>
      </c>
      <c r="B157"/>
      <c r="C157"/>
      <c r="D157"/>
      <c r="E157"/>
      <c r="F157"/>
      <c r="G157"/>
      <c r="H157"/>
      <c r="I157"/>
      <c r="J157"/>
      <c r="K157"/>
      <c r="L157"/>
      <c r="M157"/>
      <c r="N157"/>
      <c r="O157"/>
      <c r="P157"/>
      <c r="Q157"/>
      <c r="R157" s="27" t="str">
        <f>$K$46</f>
        <v/>
      </c>
      <c r="S157" s="29">
        <f>$L$46</f>
        <v>0</v>
      </c>
      <c r="T157" s="40"/>
      <c r="U157" s="17"/>
      <c r="V157" s="17"/>
      <c r="W157" s="17"/>
      <c r="X157" s="17"/>
      <c r="Z157" s="2"/>
      <c r="AA157" s="2"/>
      <c r="AB157" s="2"/>
      <c r="AD157" s="2"/>
      <c r="AE157" s="2"/>
      <c r="AF157" s="2"/>
      <c r="AG157" s="2"/>
      <c r="AH157" s="2"/>
      <c r="AT157" s="5"/>
      <c r="AW157" s="2"/>
      <c r="AX157" s="2"/>
      <c r="AY157" s="2"/>
      <c r="AZ157" s="2"/>
      <c r="BA157" s="2"/>
      <c r="BB157" s="2"/>
      <c r="BC157" s="2"/>
    </row>
    <row r="158" spans="1:55" s="1" customFormat="1" ht="20.25" customHeight="1" x14ac:dyDescent="0.25">
      <c r="A158" s="101" t="s">
        <v>55</v>
      </c>
      <c r="B158"/>
      <c r="C158"/>
      <c r="D158"/>
      <c r="E158"/>
      <c r="F158"/>
      <c r="G158"/>
      <c r="H158"/>
      <c r="I158"/>
      <c r="J158"/>
      <c r="K158"/>
      <c r="L158"/>
      <c r="M158"/>
      <c r="N158"/>
      <c r="O158"/>
      <c r="P158"/>
      <c r="Q158"/>
      <c r="R158" s="27" t="str">
        <f>$K$71</f>
        <v/>
      </c>
      <c r="S158" s="29">
        <f>$L$71</f>
        <v>0</v>
      </c>
      <c r="T158" s="16"/>
      <c r="U158" s="17"/>
      <c r="V158" s="17"/>
      <c r="W158" s="17"/>
      <c r="X158" s="17"/>
      <c r="Z158" s="2"/>
      <c r="AA158" s="2"/>
      <c r="AB158" s="2"/>
      <c r="AD158" s="2"/>
      <c r="AE158" s="2"/>
      <c r="AF158" s="2"/>
      <c r="AG158" s="2"/>
      <c r="AH158" s="2"/>
      <c r="AT158" s="5"/>
      <c r="AW158" s="2"/>
      <c r="AX158" s="2"/>
      <c r="AY158" s="2"/>
      <c r="AZ158" s="2"/>
      <c r="BA158" s="2"/>
      <c r="BB158" s="2"/>
      <c r="BC158" s="2"/>
    </row>
    <row r="159" spans="1:55" s="1" customFormat="1" ht="20.25" customHeight="1" x14ac:dyDescent="0.25">
      <c r="A159" s="101" t="s">
        <v>55</v>
      </c>
      <c r="B159"/>
      <c r="C159"/>
      <c r="D159"/>
      <c r="E159"/>
      <c r="F159"/>
      <c r="G159"/>
      <c r="H159"/>
      <c r="I159"/>
      <c r="J159"/>
      <c r="K159"/>
      <c r="L159"/>
      <c r="M159"/>
      <c r="N159"/>
      <c r="O159"/>
      <c r="P159"/>
      <c r="Q159"/>
      <c r="R159" s="27" t="str">
        <f>$B$46</f>
        <v/>
      </c>
      <c r="S159" s="29">
        <f>$C$46</f>
        <v>0</v>
      </c>
      <c r="T159" s="40"/>
      <c r="U159" s="17"/>
      <c r="V159" s="17"/>
      <c r="W159" s="17"/>
      <c r="X159" s="17"/>
      <c r="Z159" s="2"/>
      <c r="AA159" s="2"/>
      <c r="AB159" s="2"/>
      <c r="AD159" s="2"/>
      <c r="AE159" s="2"/>
      <c r="AF159" s="2"/>
      <c r="AG159" s="2"/>
      <c r="AH159" s="2"/>
      <c r="AT159" s="5"/>
      <c r="AW159" s="2"/>
      <c r="AX159" s="2"/>
      <c r="AY159" s="2"/>
      <c r="AZ159" s="2"/>
      <c r="BA159" s="2"/>
      <c r="BB159" s="2"/>
      <c r="BC159" s="2"/>
    </row>
    <row r="160" spans="1:55" s="1" customFormat="1" ht="20.25" customHeight="1" x14ac:dyDescent="0.25">
      <c r="A160" s="101" t="s">
        <v>55</v>
      </c>
      <c r="B160"/>
      <c r="C160"/>
      <c r="D160"/>
      <c r="E160"/>
      <c r="F160"/>
      <c r="G160"/>
      <c r="H160"/>
      <c r="I160"/>
      <c r="J160"/>
      <c r="K160"/>
      <c r="L160"/>
      <c r="M160"/>
      <c r="N160"/>
      <c r="O160"/>
      <c r="P160"/>
      <c r="Q160"/>
      <c r="R160" s="27" t="str">
        <f>$K$21</f>
        <v/>
      </c>
      <c r="S160" s="29">
        <f>$L$21</f>
        <v>0</v>
      </c>
      <c r="T160" s="40"/>
      <c r="U160" s="17"/>
      <c r="V160" s="17"/>
      <c r="W160" s="17"/>
      <c r="X160" s="17"/>
      <c r="Z160" s="2"/>
      <c r="AA160" s="2"/>
      <c r="AB160" s="2"/>
      <c r="AD160" s="2"/>
      <c r="AE160" s="2"/>
      <c r="AF160" s="2"/>
      <c r="AG160" s="2"/>
      <c r="AH160" s="2"/>
      <c r="AT160" s="5"/>
      <c r="AW160" s="2"/>
      <c r="AX160" s="2"/>
      <c r="AY160" s="2"/>
      <c r="AZ160" s="2"/>
      <c r="BA160" s="2"/>
      <c r="BB160" s="2"/>
      <c r="BC160" s="2"/>
    </row>
    <row r="161" spans="1:55" s="1" customFormat="1" ht="20.25" customHeight="1" x14ac:dyDescent="0.25">
      <c r="A161" s="101" t="s">
        <v>55</v>
      </c>
      <c r="B161"/>
      <c r="C161"/>
      <c r="D161"/>
      <c r="E161"/>
      <c r="F161"/>
      <c r="G161"/>
      <c r="H161"/>
      <c r="I161"/>
      <c r="J161"/>
      <c r="K161"/>
      <c r="L161"/>
      <c r="M161"/>
      <c r="N161"/>
      <c r="O161"/>
      <c r="P161"/>
      <c r="Q161"/>
      <c r="R161" s="27" t="str">
        <f>$E$71</f>
        <v/>
      </c>
      <c r="S161" s="29">
        <f>$F$71</f>
        <v>0</v>
      </c>
      <c r="T161" s="16"/>
      <c r="U161" s="17"/>
      <c r="V161" s="17"/>
      <c r="W161" s="17"/>
      <c r="X161" s="17"/>
      <c r="Z161" s="2"/>
      <c r="AA161" s="2"/>
      <c r="AB161" s="2"/>
      <c r="AD161" s="2"/>
      <c r="AE161" s="2"/>
      <c r="AF161" s="2"/>
      <c r="AG161" s="2"/>
      <c r="AH161" s="2"/>
      <c r="AT161" s="5"/>
      <c r="AW161" s="2"/>
      <c r="AX161" s="2"/>
      <c r="AY161" s="2"/>
      <c r="AZ161" s="2"/>
      <c r="BA161" s="2"/>
      <c r="BB161" s="2"/>
      <c r="BC161" s="2"/>
    </row>
    <row r="162" spans="1:55" s="1" customFormat="1" ht="20.25" customHeight="1" x14ac:dyDescent="0.25">
      <c r="A162" s="101" t="s">
        <v>55</v>
      </c>
      <c r="B162"/>
      <c r="C162"/>
      <c r="D162"/>
      <c r="E162"/>
      <c r="F162"/>
      <c r="G162"/>
      <c r="H162"/>
      <c r="I162"/>
      <c r="J162"/>
      <c r="K162"/>
      <c r="L162"/>
      <c r="M162"/>
      <c r="N162"/>
      <c r="O162"/>
      <c r="P162"/>
      <c r="Q162"/>
      <c r="R162" s="27" t="str">
        <f>$H$72</f>
        <v/>
      </c>
      <c r="S162" s="29">
        <f>$I$72</f>
        <v>0</v>
      </c>
      <c r="T162" s="40"/>
      <c r="U162" s="17"/>
      <c r="V162" s="17"/>
      <c r="W162" s="17"/>
      <c r="X162" s="17"/>
      <c r="Z162" s="2"/>
      <c r="AA162" s="2"/>
      <c r="AB162" s="2"/>
      <c r="AD162" s="2"/>
      <c r="AE162" s="2"/>
      <c r="AF162" s="2"/>
      <c r="AG162" s="2"/>
      <c r="AH162" s="2"/>
      <c r="AT162" s="5"/>
      <c r="AW162" s="2"/>
      <c r="AX162" s="2"/>
      <c r="AY162" s="2"/>
      <c r="AZ162" s="2"/>
      <c r="BA162" s="2"/>
      <c r="BB162" s="2"/>
      <c r="BC162" s="2"/>
    </row>
    <row r="163" spans="1:55" s="1" customFormat="1" ht="20.25" customHeight="1" x14ac:dyDescent="0.25">
      <c r="A163" s="101" t="s">
        <v>55</v>
      </c>
      <c r="B163"/>
      <c r="C163"/>
      <c r="D163"/>
      <c r="E163"/>
      <c r="F163"/>
      <c r="G163"/>
      <c r="H163"/>
      <c r="I163"/>
      <c r="J163"/>
      <c r="K163"/>
      <c r="L163"/>
      <c r="M163"/>
      <c r="N163"/>
      <c r="O163"/>
      <c r="P163"/>
      <c r="Q163"/>
      <c r="R163" s="27" t="str">
        <f>$E$47</f>
        <v/>
      </c>
      <c r="S163" s="29">
        <f>$F$47</f>
        <v>0</v>
      </c>
      <c r="T163" s="40"/>
      <c r="U163" s="17"/>
      <c r="V163" s="17"/>
      <c r="W163" s="17"/>
      <c r="X163" s="17"/>
      <c r="Z163" s="2"/>
      <c r="AA163" s="2"/>
      <c r="AB163" s="2"/>
      <c r="AD163" s="2"/>
      <c r="AE163" s="2"/>
      <c r="AF163" s="2"/>
      <c r="AG163" s="2"/>
      <c r="AH163" s="2"/>
      <c r="AT163" s="5"/>
      <c r="AW163" s="2"/>
      <c r="AX163" s="2"/>
      <c r="AY163" s="2"/>
      <c r="AZ163" s="2"/>
      <c r="BA163" s="2"/>
      <c r="BB163" s="2"/>
      <c r="BC163" s="2"/>
    </row>
    <row r="164" spans="1:55" s="1" customFormat="1" ht="20.25" customHeight="1" x14ac:dyDescent="0.25">
      <c r="A164" s="101" t="s">
        <v>55</v>
      </c>
      <c r="B164"/>
      <c r="C164"/>
      <c r="D164"/>
      <c r="E164"/>
      <c r="F164"/>
      <c r="G164"/>
      <c r="H164"/>
      <c r="I164"/>
      <c r="J164"/>
      <c r="K164"/>
      <c r="L164"/>
      <c r="M164"/>
      <c r="N164"/>
      <c r="O164"/>
      <c r="P164"/>
      <c r="Q164"/>
      <c r="R164" s="27" t="str">
        <f>$B$22</f>
        <v/>
      </c>
      <c r="S164" s="29">
        <f>$C$22</f>
        <v>0</v>
      </c>
      <c r="T164" s="16"/>
      <c r="U164" s="17"/>
      <c r="V164" s="17"/>
      <c r="W164" s="17"/>
      <c r="X164" s="17"/>
      <c r="Z164" s="2"/>
      <c r="AA164" s="2"/>
      <c r="AB164" s="2"/>
      <c r="AD164" s="2"/>
      <c r="AE164" s="2"/>
      <c r="AF164" s="2"/>
      <c r="AG164" s="2"/>
      <c r="AH164" s="2"/>
      <c r="AT164" s="5"/>
      <c r="AW164" s="2"/>
      <c r="AX164" s="2"/>
      <c r="AY164" s="2"/>
      <c r="AZ164" s="2"/>
      <c r="BA164" s="2"/>
      <c r="BB164" s="2"/>
      <c r="BC164" s="2"/>
    </row>
    <row r="165" spans="1:55" s="1" customFormat="1" ht="20.25" customHeight="1" x14ac:dyDescent="0.25">
      <c r="A165" s="101" t="s">
        <v>55</v>
      </c>
      <c r="B165"/>
      <c r="C165"/>
      <c r="D165"/>
      <c r="E165"/>
      <c r="F165"/>
      <c r="G165"/>
      <c r="H165"/>
      <c r="I165"/>
      <c r="J165"/>
      <c r="K165"/>
      <c r="L165"/>
      <c r="M165"/>
      <c r="N165"/>
      <c r="O165"/>
      <c r="P165"/>
      <c r="Q165"/>
      <c r="R165" s="27" t="str">
        <f>$H$47</f>
        <v/>
      </c>
      <c r="S165" s="29">
        <f>$I$47</f>
        <v>0</v>
      </c>
      <c r="T165" s="40"/>
      <c r="U165" s="17"/>
      <c r="V165" s="17"/>
      <c r="W165" s="17"/>
      <c r="X165" s="17"/>
      <c r="Z165" s="2"/>
      <c r="AA165" s="2"/>
      <c r="AB165" s="2"/>
      <c r="AD165" s="2"/>
      <c r="AE165" s="2"/>
      <c r="AF165" s="2"/>
      <c r="AG165" s="2"/>
      <c r="AH165" s="2"/>
      <c r="AT165" s="5"/>
      <c r="AW165" s="2"/>
      <c r="AX165" s="2"/>
      <c r="AY165" s="2"/>
      <c r="AZ165" s="2"/>
      <c r="BA165" s="2"/>
      <c r="BB165" s="2"/>
      <c r="BC165" s="2"/>
    </row>
    <row r="166" spans="1:55" s="1" customFormat="1" ht="20.25" customHeight="1" x14ac:dyDescent="0.25">
      <c r="A166" s="101" t="s">
        <v>55</v>
      </c>
      <c r="B166"/>
      <c r="C166"/>
      <c r="D166"/>
      <c r="E166"/>
      <c r="F166"/>
      <c r="G166"/>
      <c r="H166"/>
      <c r="I166"/>
      <c r="J166"/>
      <c r="K166"/>
      <c r="L166"/>
      <c r="M166"/>
      <c r="N166"/>
      <c r="O166"/>
      <c r="P166"/>
      <c r="Q166"/>
      <c r="R166" s="27" t="str">
        <f>$B$72</f>
        <v/>
      </c>
      <c r="S166" s="29">
        <f>$C$72</f>
        <v>0</v>
      </c>
      <c r="T166" s="40"/>
      <c r="U166" s="17"/>
      <c r="V166" s="17"/>
      <c r="W166" s="17"/>
      <c r="X166" s="17"/>
      <c r="Z166" s="2"/>
      <c r="AA166" s="2"/>
      <c r="AB166" s="2"/>
      <c r="AD166" s="2"/>
      <c r="AE166" s="2"/>
      <c r="AF166" s="2"/>
      <c r="AG166" s="2"/>
      <c r="AH166" s="2"/>
      <c r="AT166" s="5"/>
      <c r="AW166" s="2"/>
      <c r="AX166" s="2"/>
      <c r="AY166" s="2"/>
      <c r="AZ166" s="2"/>
      <c r="BA166" s="2"/>
      <c r="BB166" s="2"/>
      <c r="BC166" s="2"/>
    </row>
    <row r="167" spans="1:55" s="1" customFormat="1" ht="20.25" customHeight="1" x14ac:dyDescent="0.25">
      <c r="A167" s="101" t="s">
        <v>55</v>
      </c>
      <c r="B167"/>
      <c r="C167"/>
      <c r="D167"/>
      <c r="E167"/>
      <c r="F167"/>
      <c r="G167"/>
      <c r="H167"/>
      <c r="I167"/>
      <c r="J167"/>
      <c r="K167"/>
      <c r="L167"/>
      <c r="M167"/>
      <c r="N167"/>
      <c r="O167"/>
      <c r="P167"/>
      <c r="Q167"/>
      <c r="R167" s="27" t="str">
        <f>$E$22</f>
        <v/>
      </c>
      <c r="S167" s="29">
        <f>$F$22</f>
        <v>0</v>
      </c>
      <c r="T167" s="16"/>
      <c r="U167" s="17"/>
      <c r="V167" s="17"/>
      <c r="W167" s="17"/>
      <c r="X167" s="17"/>
      <c r="Z167" s="2"/>
      <c r="AA167" s="2"/>
      <c r="AB167" s="2"/>
      <c r="AD167" s="2"/>
      <c r="AE167" s="2"/>
      <c r="AF167" s="2"/>
      <c r="AG167" s="2"/>
      <c r="AH167" s="2"/>
      <c r="AT167" s="5"/>
      <c r="AW167" s="2"/>
      <c r="AX167" s="2"/>
      <c r="AY167" s="2"/>
      <c r="AZ167" s="2"/>
      <c r="BA167" s="2"/>
      <c r="BB167" s="2"/>
      <c r="BC167" s="2"/>
    </row>
    <row r="168" spans="1:55" s="1" customFormat="1" ht="20.25" customHeight="1" x14ac:dyDescent="0.25">
      <c r="A168" s="101" t="s">
        <v>55</v>
      </c>
      <c r="B168"/>
      <c r="C168"/>
      <c r="D168"/>
      <c r="E168"/>
      <c r="F168"/>
      <c r="G168"/>
      <c r="H168"/>
      <c r="I168"/>
      <c r="J168"/>
      <c r="K168"/>
      <c r="L168"/>
      <c r="M168"/>
      <c r="N168"/>
      <c r="O168"/>
      <c r="P168"/>
      <c r="Q168"/>
      <c r="R168" s="27" t="str">
        <f>$H$22</f>
        <v/>
      </c>
      <c r="S168" s="29">
        <f>$I$22</f>
        <v>0</v>
      </c>
      <c r="T168" s="40"/>
      <c r="U168" s="17"/>
      <c r="V168" s="17"/>
      <c r="W168" s="17"/>
      <c r="X168" s="17"/>
      <c r="Z168" s="2"/>
      <c r="AA168" s="2"/>
      <c r="AB168" s="2"/>
      <c r="AD168" s="2"/>
      <c r="AE168" s="2"/>
      <c r="AF168" s="2"/>
      <c r="AG168" s="2"/>
      <c r="AH168" s="2"/>
      <c r="AT168" s="5"/>
      <c r="AW168" s="2"/>
      <c r="AX168" s="2"/>
      <c r="AY168" s="2"/>
      <c r="AZ168" s="2"/>
      <c r="BA168" s="2"/>
      <c r="BB168" s="2"/>
      <c r="BC168" s="2"/>
    </row>
    <row r="169" spans="1:55" s="1" customFormat="1" ht="20.25" customHeight="1" x14ac:dyDescent="0.25">
      <c r="A169" s="101" t="s">
        <v>55</v>
      </c>
      <c r="B169"/>
      <c r="C169"/>
      <c r="D169"/>
      <c r="E169"/>
      <c r="F169"/>
      <c r="G169"/>
      <c r="H169"/>
      <c r="I169"/>
      <c r="J169"/>
      <c r="K169"/>
      <c r="L169"/>
      <c r="M169"/>
      <c r="N169"/>
      <c r="O169"/>
      <c r="P169"/>
      <c r="Q169"/>
      <c r="R169" s="27" t="str">
        <f>$K$47</f>
        <v/>
      </c>
      <c r="S169" s="29">
        <f>$L$47</f>
        <v>0</v>
      </c>
      <c r="T169" s="40"/>
      <c r="U169" s="17"/>
      <c r="V169" s="17"/>
      <c r="W169" s="17"/>
      <c r="X169" s="17"/>
      <c r="Z169" s="2"/>
      <c r="AA169" s="2"/>
      <c r="AB169" s="2"/>
      <c r="AD169" s="2"/>
      <c r="AE169" s="2"/>
      <c r="AF169" s="2"/>
      <c r="AG169" s="2"/>
      <c r="AH169" s="2"/>
      <c r="AT169" s="5"/>
      <c r="AW169" s="2"/>
      <c r="AX169" s="2"/>
      <c r="AY169" s="2"/>
      <c r="AZ169" s="2"/>
      <c r="BA169" s="2"/>
      <c r="BB169" s="2"/>
      <c r="BC169" s="2"/>
    </row>
    <row r="170" spans="1:55" s="1" customFormat="1" ht="20.25" customHeight="1" x14ac:dyDescent="0.25">
      <c r="A170" s="101" t="s">
        <v>55</v>
      </c>
      <c r="B170"/>
      <c r="C170"/>
      <c r="D170"/>
      <c r="E170"/>
      <c r="F170"/>
      <c r="G170"/>
      <c r="H170"/>
      <c r="I170"/>
      <c r="J170"/>
      <c r="K170"/>
      <c r="L170"/>
      <c r="M170"/>
      <c r="N170"/>
      <c r="O170"/>
      <c r="P170"/>
      <c r="Q170"/>
      <c r="R170" s="27" t="str">
        <f>$K$72</f>
        <v/>
      </c>
      <c r="S170" s="29">
        <f>$L$72</f>
        <v>0</v>
      </c>
      <c r="T170" s="16"/>
      <c r="U170" s="17"/>
      <c r="V170" s="17"/>
      <c r="W170" s="17"/>
      <c r="X170" s="17"/>
      <c r="Z170" s="2"/>
      <c r="AA170" s="2"/>
      <c r="AB170" s="2"/>
      <c r="AD170" s="2"/>
      <c r="AE170" s="2"/>
      <c r="AF170" s="2"/>
      <c r="AG170" s="2"/>
      <c r="AH170" s="2"/>
      <c r="AT170" s="5"/>
      <c r="AW170" s="2"/>
      <c r="AX170" s="2"/>
      <c r="AY170" s="2"/>
      <c r="AZ170" s="2"/>
      <c r="BA170" s="2"/>
      <c r="BB170" s="2"/>
      <c r="BC170" s="2"/>
    </row>
    <row r="171" spans="1:55" s="1" customFormat="1" ht="20.25" customHeight="1" x14ac:dyDescent="0.25">
      <c r="A171" s="101" t="s">
        <v>55</v>
      </c>
      <c r="B171"/>
      <c r="C171"/>
      <c r="D171"/>
      <c r="E171"/>
      <c r="F171"/>
      <c r="G171"/>
      <c r="H171"/>
      <c r="I171"/>
      <c r="J171"/>
      <c r="K171"/>
      <c r="L171"/>
      <c r="M171"/>
      <c r="N171"/>
      <c r="O171"/>
      <c r="P171"/>
      <c r="Q171"/>
      <c r="R171" s="27" t="str">
        <f>$B$47</f>
        <v/>
      </c>
      <c r="S171" s="29">
        <f>$C$47</f>
        <v>0</v>
      </c>
      <c r="T171" s="40"/>
      <c r="U171" s="17"/>
      <c r="V171" s="17"/>
      <c r="W171" s="17"/>
      <c r="X171" s="17"/>
      <c r="Z171" s="2"/>
      <c r="AA171" s="2"/>
      <c r="AB171" s="2"/>
      <c r="AD171" s="2"/>
      <c r="AE171" s="2"/>
      <c r="AF171" s="2"/>
      <c r="AG171" s="2"/>
      <c r="AH171" s="2"/>
      <c r="AT171" s="5"/>
      <c r="AW171" s="2"/>
      <c r="AX171" s="2"/>
      <c r="AY171" s="2"/>
      <c r="AZ171" s="2"/>
      <c r="BA171" s="2"/>
      <c r="BB171" s="2"/>
      <c r="BC171" s="2"/>
    </row>
    <row r="172" spans="1:55" s="1" customFormat="1" ht="20.25" customHeight="1" x14ac:dyDescent="0.25">
      <c r="A172" s="101" t="s">
        <v>55</v>
      </c>
      <c r="B172"/>
      <c r="C172"/>
      <c r="D172"/>
      <c r="E172"/>
      <c r="F172"/>
      <c r="G172"/>
      <c r="H172"/>
      <c r="I172"/>
      <c r="J172"/>
      <c r="K172"/>
      <c r="L172"/>
      <c r="M172"/>
      <c r="N172"/>
      <c r="O172"/>
      <c r="P172"/>
      <c r="Q172"/>
      <c r="R172" s="27" t="str">
        <f>$K$22</f>
        <v/>
      </c>
      <c r="S172" s="29">
        <f>$L$22</f>
        <v>0</v>
      </c>
      <c r="T172" s="40"/>
      <c r="U172" s="17"/>
      <c r="V172" s="17"/>
      <c r="W172" s="17"/>
      <c r="X172" s="17"/>
      <c r="Z172" s="2"/>
      <c r="AA172" s="2"/>
      <c r="AB172" s="2"/>
      <c r="AD172" s="2"/>
      <c r="AE172" s="2"/>
      <c r="AF172" s="2"/>
      <c r="AG172" s="2"/>
      <c r="AH172" s="2"/>
      <c r="AT172" s="5"/>
      <c r="AW172" s="2"/>
      <c r="AX172" s="2"/>
      <c r="AY172" s="2"/>
      <c r="AZ172" s="2"/>
      <c r="BA172" s="2"/>
      <c r="BB172" s="2"/>
      <c r="BC172" s="2"/>
    </row>
    <row r="173" spans="1:55" s="1" customFormat="1" ht="20.25" customHeight="1" x14ac:dyDescent="0.25">
      <c r="A173" s="101" t="s">
        <v>55</v>
      </c>
      <c r="B173"/>
      <c r="C173"/>
      <c r="D173"/>
      <c r="E173"/>
      <c r="F173"/>
      <c r="G173"/>
      <c r="H173"/>
      <c r="I173"/>
      <c r="J173"/>
      <c r="K173"/>
      <c r="L173"/>
      <c r="M173"/>
      <c r="N173"/>
      <c r="O173"/>
      <c r="P173"/>
      <c r="Q173"/>
      <c r="R173" s="27" t="str">
        <f>$E$72</f>
        <v/>
      </c>
      <c r="S173" s="29">
        <f>$F$72</f>
        <v>0</v>
      </c>
      <c r="T173" s="16"/>
      <c r="U173" s="17"/>
      <c r="V173" s="17"/>
      <c r="W173" s="17"/>
      <c r="X173" s="17"/>
      <c r="Z173" s="2"/>
      <c r="AA173" s="2"/>
      <c r="AB173" s="2"/>
      <c r="AD173" s="2"/>
      <c r="AE173" s="2"/>
      <c r="AF173" s="2"/>
      <c r="AG173" s="2"/>
      <c r="AH173" s="2"/>
      <c r="AT173" s="5"/>
      <c r="AW173" s="2"/>
      <c r="AX173" s="2"/>
      <c r="AY173" s="2"/>
      <c r="AZ173" s="2"/>
      <c r="BA173" s="2"/>
      <c r="BB173" s="2"/>
      <c r="BC173" s="2"/>
    </row>
    <row r="174" spans="1:55" s="1" customFormat="1" ht="20.25" customHeight="1" x14ac:dyDescent="0.25">
      <c r="A174" s="101" t="s">
        <v>55</v>
      </c>
      <c r="B174"/>
      <c r="C174"/>
      <c r="D174"/>
      <c r="E174"/>
      <c r="F174"/>
      <c r="G174"/>
      <c r="H174"/>
      <c r="I174"/>
      <c r="J174"/>
      <c r="K174"/>
      <c r="L174"/>
      <c r="M174"/>
      <c r="N174"/>
      <c r="O174"/>
      <c r="P174"/>
      <c r="Q174"/>
      <c r="R174" s="27" t="str">
        <f>$B$23</f>
        <v/>
      </c>
      <c r="S174" s="29">
        <f>$C$23</f>
        <v>0</v>
      </c>
      <c r="T174" s="40"/>
      <c r="U174" s="17"/>
      <c r="V174" s="17"/>
      <c r="W174" s="17"/>
      <c r="X174" s="17"/>
      <c r="Z174" s="2"/>
      <c r="AA174" s="2"/>
      <c r="AB174" s="2"/>
      <c r="AD174" s="2"/>
      <c r="AE174" s="2"/>
      <c r="AF174" s="2"/>
      <c r="AG174" s="2"/>
      <c r="AH174" s="2"/>
      <c r="AT174" s="5"/>
      <c r="AW174" s="2"/>
      <c r="AX174" s="2"/>
      <c r="AY174" s="2"/>
      <c r="AZ174" s="2"/>
      <c r="BA174" s="2"/>
      <c r="BB174" s="2"/>
      <c r="BC174" s="2"/>
    </row>
    <row r="175" spans="1:55" s="1" customFormat="1" ht="20.25" customHeight="1" x14ac:dyDescent="0.25">
      <c r="A175" s="101" t="s">
        <v>55</v>
      </c>
      <c r="B175"/>
      <c r="C175"/>
      <c r="D175"/>
      <c r="E175"/>
      <c r="F175"/>
      <c r="G175"/>
      <c r="H175"/>
      <c r="I175"/>
      <c r="J175"/>
      <c r="K175"/>
      <c r="L175"/>
      <c r="M175"/>
      <c r="N175"/>
      <c r="O175"/>
      <c r="P175"/>
      <c r="Q175"/>
      <c r="R175" s="27" t="str">
        <f>$E$48</f>
        <v/>
      </c>
      <c r="S175" s="29">
        <f>$F$48</f>
        <v>0</v>
      </c>
      <c r="T175" s="40"/>
      <c r="U175" s="17"/>
      <c r="V175" s="17"/>
      <c r="W175" s="17"/>
      <c r="X175" s="17"/>
      <c r="Z175" s="2"/>
      <c r="AA175" s="2"/>
      <c r="AB175" s="2"/>
      <c r="AD175" s="2"/>
      <c r="AE175" s="2"/>
      <c r="AF175" s="2"/>
      <c r="AG175" s="2"/>
      <c r="AH175" s="2"/>
      <c r="AT175" s="5"/>
      <c r="AW175" s="2"/>
      <c r="AX175" s="2"/>
      <c r="AY175" s="2"/>
      <c r="AZ175" s="2"/>
      <c r="BA175" s="2"/>
      <c r="BB175" s="2"/>
      <c r="BC175" s="2"/>
    </row>
    <row r="176" spans="1:55" s="1" customFormat="1" ht="20.25" customHeight="1" x14ac:dyDescent="0.25">
      <c r="A176" s="101" t="s">
        <v>55</v>
      </c>
      <c r="B176"/>
      <c r="C176"/>
      <c r="D176"/>
      <c r="E176"/>
      <c r="F176"/>
      <c r="G176"/>
      <c r="H176"/>
      <c r="I176"/>
      <c r="J176"/>
      <c r="K176"/>
      <c r="L176"/>
      <c r="M176"/>
      <c r="N176"/>
      <c r="O176"/>
      <c r="P176"/>
      <c r="Q176"/>
      <c r="R176" s="27" t="str">
        <f>$H$73</f>
        <v/>
      </c>
      <c r="S176" s="29">
        <f>$I$73</f>
        <v>0</v>
      </c>
      <c r="T176" s="16"/>
      <c r="U176" s="17"/>
      <c r="V176" s="17"/>
      <c r="W176" s="17"/>
      <c r="X176" s="17"/>
      <c r="Z176" s="2"/>
      <c r="AA176" s="2"/>
      <c r="AB176" s="2"/>
      <c r="AD176" s="2"/>
      <c r="AE176" s="2"/>
      <c r="AF176" s="2"/>
      <c r="AG176" s="2"/>
      <c r="AH176" s="2"/>
      <c r="AT176" s="5"/>
      <c r="AW176" s="2"/>
      <c r="AX176" s="2"/>
      <c r="AY176" s="2"/>
      <c r="AZ176" s="2"/>
      <c r="BA176" s="2"/>
      <c r="BB176" s="2"/>
      <c r="BC176" s="2"/>
    </row>
    <row r="177" spans="1:55" s="1" customFormat="1" ht="20.25" customHeight="1" x14ac:dyDescent="0.25">
      <c r="A177" s="101" t="s">
        <v>55</v>
      </c>
      <c r="B177"/>
      <c r="C177"/>
      <c r="D177"/>
      <c r="E177"/>
      <c r="F177"/>
      <c r="G177"/>
      <c r="H177"/>
      <c r="I177"/>
      <c r="J177"/>
      <c r="K177"/>
      <c r="L177"/>
      <c r="M177"/>
      <c r="N177"/>
      <c r="O177"/>
      <c r="P177"/>
      <c r="Q177"/>
      <c r="R177" s="27" t="str">
        <f>$B$73</f>
        <v/>
      </c>
      <c r="S177" s="29">
        <f>$C$73</f>
        <v>0</v>
      </c>
      <c r="T177" s="40"/>
      <c r="U177" s="17"/>
      <c r="V177" s="17"/>
      <c r="W177" s="17"/>
      <c r="X177" s="17"/>
      <c r="Z177" s="2"/>
      <c r="AA177" s="2"/>
      <c r="AB177" s="2"/>
      <c r="AD177" s="2"/>
      <c r="AE177" s="2"/>
      <c r="AF177" s="2"/>
      <c r="AG177" s="2"/>
      <c r="AH177" s="2"/>
      <c r="AT177" s="5"/>
      <c r="AW177" s="2"/>
      <c r="AX177" s="2"/>
      <c r="AY177" s="2"/>
      <c r="AZ177" s="2"/>
      <c r="BA177" s="2"/>
      <c r="BB177" s="2"/>
      <c r="BC177" s="2"/>
    </row>
    <row r="178" spans="1:55" s="1" customFormat="1" ht="20.25" customHeight="1" x14ac:dyDescent="0.25">
      <c r="A178" s="101" t="s">
        <v>55</v>
      </c>
      <c r="B178"/>
      <c r="C178"/>
      <c r="D178"/>
      <c r="E178"/>
      <c r="F178"/>
      <c r="G178"/>
      <c r="H178"/>
      <c r="I178"/>
      <c r="J178"/>
      <c r="K178"/>
      <c r="L178"/>
      <c r="M178"/>
      <c r="N178"/>
      <c r="O178"/>
      <c r="P178"/>
      <c r="Q178"/>
      <c r="R178" s="27" t="str">
        <f>$E$23</f>
        <v/>
      </c>
      <c r="S178" s="29">
        <f>$F$23</f>
        <v>0</v>
      </c>
      <c r="T178" s="40"/>
      <c r="U178" s="17"/>
      <c r="V178" s="17"/>
      <c r="W178" s="17"/>
      <c r="X178" s="17"/>
      <c r="Z178" s="2"/>
      <c r="AA178" s="2"/>
      <c r="AB178" s="2"/>
      <c r="AD178" s="2"/>
      <c r="AE178" s="2"/>
      <c r="AF178" s="2"/>
      <c r="AG178" s="2"/>
      <c r="AH178" s="2"/>
      <c r="AT178" s="5"/>
      <c r="AW178" s="2"/>
      <c r="AX178" s="2"/>
      <c r="AY178" s="2"/>
      <c r="AZ178" s="2"/>
      <c r="BA178" s="2"/>
      <c r="BB178" s="2"/>
      <c r="BC178" s="2"/>
    </row>
    <row r="179" spans="1:55" s="1" customFormat="1" ht="20.25" customHeight="1" x14ac:dyDescent="0.25">
      <c r="A179" s="101" t="s">
        <v>55</v>
      </c>
      <c r="B179"/>
      <c r="C179"/>
      <c r="D179"/>
      <c r="E179"/>
      <c r="F179"/>
      <c r="G179"/>
      <c r="H179"/>
      <c r="I179"/>
      <c r="J179"/>
      <c r="K179"/>
      <c r="L179"/>
      <c r="M179"/>
      <c r="N179"/>
      <c r="O179"/>
      <c r="P179"/>
      <c r="Q179"/>
      <c r="R179" s="27" t="str">
        <f>$H$48</f>
        <v/>
      </c>
      <c r="S179" s="29">
        <f>$I$48</f>
        <v>0</v>
      </c>
      <c r="T179" s="16"/>
      <c r="U179" s="17"/>
      <c r="V179" s="17"/>
      <c r="W179" s="17"/>
      <c r="X179" s="17"/>
      <c r="Z179" s="2"/>
      <c r="AA179" s="2"/>
      <c r="AB179" s="2"/>
      <c r="AD179" s="2"/>
      <c r="AE179" s="2"/>
      <c r="AF179" s="2"/>
      <c r="AG179" s="2"/>
      <c r="AH179" s="2"/>
      <c r="AT179" s="5"/>
      <c r="AW179" s="2"/>
      <c r="AX179" s="2"/>
      <c r="AY179" s="2"/>
      <c r="AZ179" s="2"/>
      <c r="BA179" s="2"/>
      <c r="BB179" s="2"/>
      <c r="BC179" s="2"/>
    </row>
    <row r="180" spans="1:55" s="1" customFormat="1" ht="20.25" customHeight="1" x14ac:dyDescent="0.25">
      <c r="A180" s="101" t="s">
        <v>55</v>
      </c>
      <c r="B180"/>
      <c r="C180"/>
      <c r="D180"/>
      <c r="E180"/>
      <c r="F180"/>
      <c r="G180"/>
      <c r="H180"/>
      <c r="I180"/>
      <c r="J180"/>
      <c r="K180"/>
      <c r="L180"/>
      <c r="M180"/>
      <c r="N180"/>
      <c r="O180"/>
      <c r="P180"/>
      <c r="Q180"/>
      <c r="R180" s="27" t="str">
        <f>$K$48</f>
        <v/>
      </c>
      <c r="S180" s="29">
        <f>$L$48</f>
        <v>0</v>
      </c>
      <c r="T180" s="40"/>
      <c r="U180" s="17"/>
      <c r="V180" s="17"/>
      <c r="W180" s="17"/>
      <c r="X180" s="17"/>
      <c r="Z180" s="2"/>
      <c r="AA180" s="2"/>
      <c r="AB180" s="2"/>
      <c r="AD180" s="2"/>
      <c r="AE180" s="2"/>
      <c r="AF180" s="2"/>
      <c r="AG180" s="2"/>
      <c r="AH180" s="2"/>
      <c r="AT180" s="5"/>
      <c r="AW180" s="2"/>
      <c r="AX180" s="2"/>
      <c r="AY180" s="2"/>
      <c r="AZ180" s="2"/>
      <c r="BA180" s="2"/>
      <c r="BB180" s="2"/>
      <c r="BC180" s="2"/>
    </row>
    <row r="181" spans="1:55" s="1" customFormat="1" ht="20.25" customHeight="1" x14ac:dyDescent="0.25">
      <c r="A181" s="101" t="s">
        <v>55</v>
      </c>
      <c r="B181"/>
      <c r="C181"/>
      <c r="D181"/>
      <c r="E181"/>
      <c r="F181"/>
      <c r="G181"/>
      <c r="H181"/>
      <c r="I181"/>
      <c r="J181"/>
      <c r="K181"/>
      <c r="L181"/>
      <c r="M181"/>
      <c r="N181"/>
      <c r="O181"/>
      <c r="P181"/>
      <c r="Q181"/>
      <c r="R181" s="27" t="str">
        <f>$H$23</f>
        <v/>
      </c>
      <c r="S181" s="29">
        <f>$I$23</f>
        <v>0</v>
      </c>
      <c r="T181" s="40"/>
      <c r="U181" s="17"/>
      <c r="V181" s="17"/>
      <c r="W181" s="17"/>
      <c r="X181" s="17"/>
      <c r="Z181" s="2"/>
      <c r="AA181" s="2"/>
      <c r="AB181" s="2"/>
      <c r="AD181" s="2"/>
      <c r="AE181" s="2"/>
      <c r="AF181" s="2"/>
      <c r="AG181" s="2"/>
      <c r="AH181" s="2"/>
      <c r="AT181" s="5"/>
      <c r="AW181" s="2"/>
      <c r="AX181" s="2"/>
      <c r="AY181" s="2"/>
      <c r="AZ181" s="2"/>
      <c r="BA181" s="2"/>
      <c r="BB181" s="2"/>
      <c r="BC181" s="2"/>
    </row>
    <row r="182" spans="1:55" s="1" customFormat="1" ht="20.25" customHeight="1" x14ac:dyDescent="0.25">
      <c r="A182" s="101" t="s">
        <v>55</v>
      </c>
      <c r="B182"/>
      <c r="C182"/>
      <c r="D182"/>
      <c r="E182"/>
      <c r="F182"/>
      <c r="G182"/>
      <c r="H182"/>
      <c r="I182"/>
      <c r="J182"/>
      <c r="K182"/>
      <c r="L182"/>
      <c r="M182"/>
      <c r="N182"/>
      <c r="O182"/>
      <c r="P182"/>
      <c r="Q182"/>
      <c r="R182" s="27" t="str">
        <f>$K$73</f>
        <v/>
      </c>
      <c r="S182" s="29">
        <f>$L$73</f>
        <v>0</v>
      </c>
      <c r="T182" s="16"/>
      <c r="U182" s="17"/>
      <c r="V182" s="17"/>
      <c r="W182" s="17"/>
      <c r="X182" s="17"/>
      <c r="Z182" s="2"/>
      <c r="AA182" s="2"/>
      <c r="AB182" s="2"/>
      <c r="AD182" s="2"/>
      <c r="AE182" s="2"/>
      <c r="AF182" s="2"/>
      <c r="AG182" s="2"/>
      <c r="AH182" s="2"/>
      <c r="AT182" s="5"/>
      <c r="AW182" s="2"/>
      <c r="AX182" s="2"/>
      <c r="AY182" s="2"/>
      <c r="AZ182" s="2"/>
      <c r="BA182" s="2"/>
      <c r="BB182" s="2"/>
      <c r="BC182" s="2"/>
    </row>
    <row r="183" spans="1:55" s="1" customFormat="1" ht="20.25" customHeight="1" x14ac:dyDescent="0.25">
      <c r="A183" s="101" t="s">
        <v>55</v>
      </c>
      <c r="B183"/>
      <c r="C183"/>
      <c r="D183"/>
      <c r="E183"/>
      <c r="F183"/>
      <c r="G183"/>
      <c r="H183"/>
      <c r="I183"/>
      <c r="J183"/>
      <c r="K183"/>
      <c r="L183"/>
      <c r="M183"/>
      <c r="N183"/>
      <c r="O183"/>
      <c r="P183"/>
      <c r="Q183"/>
      <c r="R183" s="27" t="str">
        <f>$K$23</f>
        <v/>
      </c>
      <c r="S183" s="29">
        <f>$L$23</f>
        <v>0</v>
      </c>
      <c r="T183" s="40"/>
      <c r="U183" s="17"/>
      <c r="V183" s="17"/>
      <c r="W183" s="17"/>
      <c r="X183" s="17"/>
      <c r="Z183" s="2"/>
      <c r="AA183" s="2"/>
      <c r="AB183" s="2"/>
      <c r="AD183" s="2"/>
      <c r="AE183" s="2"/>
      <c r="AF183" s="2"/>
      <c r="AG183" s="2"/>
      <c r="AH183" s="2"/>
      <c r="AT183" s="5"/>
      <c r="AW183" s="2"/>
      <c r="AX183" s="2"/>
      <c r="AY183" s="2"/>
      <c r="AZ183" s="2"/>
      <c r="BA183" s="2"/>
      <c r="BB183" s="2"/>
      <c r="BC183" s="2"/>
    </row>
    <row r="184" spans="1:55" s="1" customFormat="1" ht="20.25" customHeight="1" x14ac:dyDescent="0.25">
      <c r="A184" s="101" t="s">
        <v>55</v>
      </c>
      <c r="B184"/>
      <c r="C184"/>
      <c r="D184"/>
      <c r="E184"/>
      <c r="F184"/>
      <c r="G184"/>
      <c r="H184"/>
      <c r="I184"/>
      <c r="J184"/>
      <c r="K184"/>
      <c r="L184"/>
      <c r="M184"/>
      <c r="N184"/>
      <c r="O184"/>
      <c r="P184"/>
      <c r="Q184"/>
      <c r="R184" s="27" t="str">
        <f>$E$73</f>
        <v/>
      </c>
      <c r="S184" s="29">
        <f>$F$73</f>
        <v>0</v>
      </c>
      <c r="T184" s="40"/>
      <c r="U184" s="17"/>
      <c r="V184" s="17"/>
      <c r="W184" s="17"/>
      <c r="X184" s="17"/>
      <c r="Z184" s="2"/>
      <c r="AA184" s="2"/>
      <c r="AB184" s="2"/>
      <c r="AD184" s="2"/>
      <c r="AE184" s="2"/>
      <c r="AF184" s="2"/>
      <c r="AG184" s="2"/>
      <c r="AH184" s="2"/>
      <c r="AT184" s="5"/>
      <c r="AW184" s="2"/>
      <c r="AX184" s="2"/>
      <c r="AY184" s="2"/>
      <c r="AZ184" s="2"/>
      <c r="BA184" s="2"/>
      <c r="BB184" s="2"/>
      <c r="BC184" s="2"/>
    </row>
    <row r="185" spans="1:55" s="1" customFormat="1" ht="20.25" customHeight="1" x14ac:dyDescent="0.25">
      <c r="A185" s="101" t="s">
        <v>55</v>
      </c>
      <c r="B185"/>
      <c r="C185"/>
      <c r="D185"/>
      <c r="E185"/>
      <c r="F185"/>
      <c r="G185"/>
      <c r="H185"/>
      <c r="I185"/>
      <c r="J185"/>
      <c r="K185"/>
      <c r="L185"/>
      <c r="M185"/>
      <c r="N185"/>
      <c r="O185"/>
      <c r="P185"/>
      <c r="Q185"/>
      <c r="R185" s="27" t="str">
        <f>$B$48</f>
        <v/>
      </c>
      <c r="S185" s="29">
        <f>$C$48</f>
        <v>0</v>
      </c>
      <c r="T185" s="16"/>
      <c r="U185" s="17"/>
      <c r="V185" s="17"/>
      <c r="W185" s="17"/>
      <c r="X185" s="17"/>
      <c r="Z185" s="2"/>
      <c r="AA185" s="2"/>
      <c r="AB185" s="2"/>
      <c r="AD185" s="2"/>
      <c r="AE185" s="2"/>
      <c r="AF185" s="2"/>
      <c r="AG185" s="2"/>
      <c r="AH185" s="2"/>
      <c r="AT185" s="5"/>
      <c r="AW185" s="2"/>
      <c r="AX185" s="2"/>
      <c r="AY185" s="2"/>
      <c r="AZ185" s="2"/>
      <c r="BA185" s="2"/>
      <c r="BB185" s="2"/>
      <c r="BC185" s="2"/>
    </row>
    <row r="186" spans="1:55" s="1" customFormat="1" ht="20.25" customHeight="1" x14ac:dyDescent="0.25">
      <c r="A186" s="101" t="s">
        <v>55</v>
      </c>
      <c r="B186"/>
      <c r="C186"/>
      <c r="D186"/>
      <c r="E186"/>
      <c r="F186"/>
      <c r="G186"/>
      <c r="H186"/>
      <c r="I186"/>
      <c r="J186"/>
      <c r="K186"/>
      <c r="L186"/>
      <c r="M186"/>
      <c r="N186"/>
      <c r="O186"/>
      <c r="P186"/>
      <c r="Q186"/>
      <c r="R186" s="27" t="str">
        <f>$E$49</f>
        <v/>
      </c>
      <c r="S186" s="29">
        <f>$F$49</f>
        <v>0</v>
      </c>
      <c r="T186" s="40"/>
      <c r="U186" s="17"/>
      <c r="V186" s="17"/>
      <c r="W186" s="17"/>
      <c r="X186" s="17"/>
      <c r="Z186" s="2"/>
      <c r="AA186" s="2"/>
      <c r="AB186" s="2"/>
      <c r="AD186" s="2"/>
      <c r="AE186" s="2"/>
      <c r="AF186" s="2"/>
      <c r="AG186" s="2"/>
      <c r="AH186" s="2"/>
      <c r="AT186" s="5"/>
      <c r="AW186" s="2"/>
      <c r="AX186" s="2"/>
      <c r="AY186" s="2"/>
      <c r="AZ186" s="2"/>
      <c r="BA186" s="2"/>
      <c r="BB186" s="2"/>
      <c r="BC186" s="2"/>
    </row>
    <row r="187" spans="1:55" s="1" customFormat="1" ht="20.25" customHeight="1" x14ac:dyDescent="0.25">
      <c r="A187" s="101" t="s">
        <v>55</v>
      </c>
      <c r="B187"/>
      <c r="C187"/>
      <c r="D187"/>
      <c r="E187"/>
      <c r="F187"/>
      <c r="G187"/>
      <c r="H187"/>
      <c r="I187"/>
      <c r="J187"/>
      <c r="K187"/>
      <c r="L187"/>
      <c r="M187"/>
      <c r="N187"/>
      <c r="O187"/>
      <c r="P187"/>
      <c r="Q187"/>
      <c r="R187" s="27" t="str">
        <f>$H$74</f>
        <v/>
      </c>
      <c r="S187" s="29">
        <f>$I$74</f>
        <v>0</v>
      </c>
      <c r="T187" s="40"/>
      <c r="U187" s="17"/>
      <c r="V187" s="17"/>
      <c r="W187" s="17"/>
      <c r="X187" s="17"/>
      <c r="Z187" s="2"/>
      <c r="AA187" s="2"/>
      <c r="AB187" s="2"/>
      <c r="AD187" s="2"/>
      <c r="AE187" s="2"/>
      <c r="AF187" s="2"/>
      <c r="AG187" s="2"/>
      <c r="AH187" s="2"/>
      <c r="AT187" s="5"/>
      <c r="AW187" s="2"/>
      <c r="AX187" s="2"/>
      <c r="AY187" s="2"/>
      <c r="AZ187" s="2"/>
      <c r="BA187" s="2"/>
      <c r="BB187" s="2"/>
      <c r="BC187" s="2"/>
    </row>
    <row r="188" spans="1:55" s="1" customFormat="1" ht="20.25" customHeight="1" x14ac:dyDescent="0.25">
      <c r="A188" s="101" t="s">
        <v>55</v>
      </c>
      <c r="B188"/>
      <c r="C188"/>
      <c r="D188"/>
      <c r="E188"/>
      <c r="F188"/>
      <c r="G188"/>
      <c r="H188"/>
      <c r="I188"/>
      <c r="J188"/>
      <c r="K188"/>
      <c r="L188"/>
      <c r="M188"/>
      <c r="N188"/>
      <c r="O188"/>
      <c r="P188"/>
      <c r="Q188"/>
      <c r="R188" s="27" t="str">
        <f>$B$24</f>
        <v/>
      </c>
      <c r="S188" s="29">
        <f>$C$24</f>
        <v>0</v>
      </c>
      <c r="T188" s="16"/>
      <c r="U188" s="17"/>
      <c r="V188" s="17"/>
      <c r="W188" s="17"/>
      <c r="X188" s="17"/>
      <c r="Z188" s="2"/>
      <c r="AA188" s="2"/>
      <c r="AB188" s="2"/>
      <c r="AD188" s="2"/>
      <c r="AE188" s="2"/>
      <c r="AF188" s="2"/>
      <c r="AG188" s="2"/>
      <c r="AH188" s="2"/>
      <c r="AT188" s="5"/>
      <c r="AW188" s="2"/>
      <c r="AX188" s="2"/>
      <c r="AY188" s="2"/>
      <c r="AZ188" s="2"/>
      <c r="BA188" s="2"/>
      <c r="BB188" s="2"/>
      <c r="BC188" s="2"/>
    </row>
    <row r="189" spans="1:55" s="1" customFormat="1" ht="20.25" customHeight="1" x14ac:dyDescent="0.25">
      <c r="A189" s="101" t="s">
        <v>55</v>
      </c>
      <c r="B189"/>
      <c r="C189"/>
      <c r="D189"/>
      <c r="E189"/>
      <c r="F189"/>
      <c r="G189"/>
      <c r="H189"/>
      <c r="I189"/>
      <c r="J189"/>
      <c r="K189"/>
      <c r="L189"/>
      <c r="M189"/>
      <c r="N189"/>
      <c r="O189"/>
      <c r="P189"/>
      <c r="Q189"/>
      <c r="R189" s="27" t="str">
        <f>$E$24</f>
        <v/>
      </c>
      <c r="S189" s="29">
        <f>$F$24</f>
        <v>0</v>
      </c>
      <c r="T189" s="40"/>
      <c r="U189" s="17"/>
      <c r="V189" s="17"/>
      <c r="W189" s="17"/>
      <c r="X189" s="17"/>
      <c r="Z189" s="2"/>
      <c r="AA189" s="2"/>
      <c r="AB189" s="2"/>
      <c r="AD189" s="2"/>
      <c r="AE189" s="2"/>
      <c r="AF189" s="2"/>
      <c r="AG189" s="2"/>
      <c r="AH189" s="2"/>
      <c r="AT189" s="5"/>
      <c r="AW189" s="2"/>
      <c r="AX189" s="2"/>
      <c r="AY189" s="2"/>
      <c r="AZ189" s="2"/>
      <c r="BA189" s="2"/>
      <c r="BB189" s="2"/>
      <c r="BC189" s="2"/>
    </row>
    <row r="190" spans="1:55" s="1" customFormat="1" ht="20.25" customHeight="1" x14ac:dyDescent="0.25">
      <c r="A190" s="101" t="s">
        <v>55</v>
      </c>
      <c r="B190"/>
      <c r="C190"/>
      <c r="D190"/>
      <c r="E190"/>
      <c r="F190"/>
      <c r="G190"/>
      <c r="H190"/>
      <c r="I190"/>
      <c r="J190"/>
      <c r="K190"/>
      <c r="L190"/>
      <c r="M190"/>
      <c r="N190"/>
      <c r="O190"/>
      <c r="P190"/>
      <c r="Q190"/>
      <c r="R190" s="27" t="str">
        <f>$B$74</f>
        <v/>
      </c>
      <c r="S190" s="29">
        <f>$C$74</f>
        <v>0</v>
      </c>
      <c r="T190" s="40"/>
      <c r="U190" s="17"/>
      <c r="V190" s="17"/>
      <c r="W190" s="17"/>
      <c r="X190" s="17"/>
      <c r="Z190" s="2"/>
      <c r="AA190" s="2"/>
      <c r="AB190" s="2"/>
      <c r="AD190" s="2"/>
      <c r="AE190" s="2"/>
      <c r="AF190" s="2"/>
      <c r="AG190" s="2"/>
      <c r="AH190" s="2"/>
      <c r="AT190" s="5"/>
      <c r="AW190" s="2"/>
      <c r="AX190" s="2"/>
      <c r="AY190" s="2"/>
      <c r="AZ190" s="2"/>
      <c r="BA190" s="2"/>
      <c r="BB190" s="2"/>
      <c r="BC190" s="2"/>
    </row>
    <row r="191" spans="1:55" s="1" customFormat="1" ht="20.25" customHeight="1" x14ac:dyDescent="0.25">
      <c r="A191" s="101" t="s">
        <v>55</v>
      </c>
      <c r="B191"/>
      <c r="C191"/>
      <c r="D191"/>
      <c r="E191"/>
      <c r="F191"/>
      <c r="G191"/>
      <c r="H191"/>
      <c r="I191"/>
      <c r="J191"/>
      <c r="K191"/>
      <c r="L191"/>
      <c r="M191"/>
      <c r="N191"/>
      <c r="O191"/>
      <c r="P191"/>
      <c r="Q191"/>
      <c r="R191" s="27" t="str">
        <f>$H$49</f>
        <v/>
      </c>
      <c r="S191" s="29">
        <f>$I$49</f>
        <v>0</v>
      </c>
      <c r="T191" s="16"/>
      <c r="U191" s="17"/>
      <c r="V191" s="17"/>
      <c r="W191" s="17"/>
      <c r="X191" s="17"/>
      <c r="Z191" s="2"/>
      <c r="AA191" s="2"/>
      <c r="AB191" s="2"/>
      <c r="AD191" s="2"/>
      <c r="AE191" s="2"/>
      <c r="AF191" s="2"/>
      <c r="AG191" s="2"/>
      <c r="AH191" s="2"/>
      <c r="AT191" s="5"/>
      <c r="AW191" s="2"/>
      <c r="AX191" s="2"/>
      <c r="AY191" s="2"/>
      <c r="AZ191" s="2"/>
      <c r="BA191" s="2"/>
      <c r="BB191" s="2"/>
      <c r="BC191" s="2"/>
    </row>
    <row r="192" spans="1:55" s="1" customFormat="1" ht="20.25" customHeight="1" x14ac:dyDescent="0.25">
      <c r="A192" s="101" t="s">
        <v>55</v>
      </c>
      <c r="B192"/>
      <c r="C192"/>
      <c r="D192"/>
      <c r="E192"/>
      <c r="F192"/>
      <c r="G192"/>
      <c r="H192"/>
      <c r="I192"/>
      <c r="J192"/>
      <c r="K192"/>
      <c r="L192"/>
      <c r="M192"/>
      <c r="N192"/>
      <c r="O192"/>
      <c r="P192"/>
      <c r="Q192"/>
      <c r="R192" s="27" t="str">
        <f>$K$74</f>
        <v/>
      </c>
      <c r="S192" s="29">
        <f>$L$74</f>
        <v>0</v>
      </c>
      <c r="T192" s="40"/>
      <c r="U192" s="17"/>
      <c r="V192" s="17"/>
      <c r="W192" s="17"/>
      <c r="X192" s="17"/>
      <c r="Z192" s="2"/>
      <c r="AA192" s="2"/>
      <c r="AB192" s="2"/>
      <c r="AD192" s="2"/>
      <c r="AE192" s="2"/>
      <c r="AF192" s="2"/>
      <c r="AG192" s="2"/>
      <c r="AH192" s="2"/>
      <c r="AT192" s="5"/>
      <c r="AW192" s="2"/>
      <c r="AX192" s="2"/>
      <c r="AY192" s="2"/>
      <c r="AZ192" s="2"/>
      <c r="BA192" s="2"/>
      <c r="BB192" s="2"/>
      <c r="BC192" s="2"/>
    </row>
    <row r="193" spans="1:55" s="1" customFormat="1" ht="20.25" customHeight="1" x14ac:dyDescent="0.25">
      <c r="A193" s="101" t="s">
        <v>55</v>
      </c>
      <c r="B193"/>
      <c r="C193"/>
      <c r="D193"/>
      <c r="E193"/>
      <c r="F193"/>
      <c r="G193"/>
      <c r="H193"/>
      <c r="I193"/>
      <c r="J193"/>
      <c r="K193"/>
      <c r="L193"/>
      <c r="M193"/>
      <c r="N193"/>
      <c r="O193"/>
      <c r="P193"/>
      <c r="Q193"/>
      <c r="R193" s="27" t="str">
        <f>$H$24</f>
        <v/>
      </c>
      <c r="S193" s="29">
        <f>$I$24</f>
        <v>0</v>
      </c>
      <c r="T193" s="40"/>
      <c r="U193" s="17"/>
      <c r="V193" s="17"/>
      <c r="W193" s="17"/>
      <c r="X193" s="17"/>
      <c r="Z193" s="2"/>
      <c r="AA193" s="2"/>
      <c r="AB193" s="2"/>
      <c r="AD193" s="2"/>
      <c r="AE193" s="2"/>
      <c r="AF193" s="2"/>
      <c r="AG193" s="2"/>
      <c r="AH193" s="2"/>
      <c r="AT193" s="5"/>
      <c r="AW193" s="2"/>
      <c r="AX193" s="2"/>
      <c r="AY193" s="2"/>
      <c r="AZ193" s="2"/>
      <c r="BA193" s="2"/>
      <c r="BB193" s="2"/>
      <c r="BC193" s="2"/>
    </row>
    <row r="194" spans="1:55" s="1" customFormat="1" ht="20.25" customHeight="1" x14ac:dyDescent="0.25">
      <c r="A194" s="101" t="s">
        <v>55</v>
      </c>
      <c r="B194"/>
      <c r="C194"/>
      <c r="D194"/>
      <c r="E194"/>
      <c r="F194"/>
      <c r="G194"/>
      <c r="H194"/>
      <c r="I194"/>
      <c r="J194"/>
      <c r="K194"/>
      <c r="L194"/>
      <c r="M194"/>
      <c r="N194"/>
      <c r="O194"/>
      <c r="P194"/>
      <c r="Q194"/>
      <c r="R194" s="27" t="str">
        <f>$K$49</f>
        <v/>
      </c>
      <c r="S194" s="29">
        <f>$L$49</f>
        <v>0</v>
      </c>
      <c r="T194" s="16"/>
      <c r="U194" s="17"/>
      <c r="V194" s="17"/>
      <c r="W194" s="17"/>
      <c r="X194" s="17"/>
      <c r="Z194" s="2"/>
      <c r="AA194" s="2"/>
      <c r="AB194" s="2"/>
      <c r="AD194" s="2"/>
      <c r="AE194" s="2"/>
      <c r="AF194" s="2"/>
      <c r="AG194" s="2"/>
      <c r="AH194" s="2"/>
      <c r="AT194" s="5"/>
      <c r="AW194" s="2"/>
      <c r="AX194" s="2"/>
      <c r="AY194" s="2"/>
      <c r="AZ194" s="2"/>
      <c r="BA194" s="2"/>
      <c r="BB194" s="2"/>
      <c r="BC194" s="2"/>
    </row>
    <row r="195" spans="1:55" s="1" customFormat="1" ht="20.25" customHeight="1" x14ac:dyDescent="0.25">
      <c r="A195" s="101" t="s">
        <v>55</v>
      </c>
      <c r="B195"/>
      <c r="C195"/>
      <c r="D195"/>
      <c r="E195"/>
      <c r="F195"/>
      <c r="G195"/>
      <c r="H195"/>
      <c r="I195"/>
      <c r="J195"/>
      <c r="K195"/>
      <c r="L195"/>
      <c r="M195"/>
      <c r="N195"/>
      <c r="O195"/>
      <c r="P195"/>
      <c r="Q195"/>
      <c r="R195" s="27" t="str">
        <f>$K$24</f>
        <v/>
      </c>
      <c r="S195" s="29">
        <f>$L$24</f>
        <v>0</v>
      </c>
      <c r="T195" s="40"/>
      <c r="U195" s="17"/>
      <c r="V195" s="17"/>
      <c r="W195" s="17"/>
      <c r="X195" s="17"/>
      <c r="Z195" s="2"/>
      <c r="AA195" s="2"/>
      <c r="AB195" s="2"/>
      <c r="AD195" s="2"/>
      <c r="AE195" s="2"/>
      <c r="AF195" s="2"/>
      <c r="AG195" s="2"/>
      <c r="AH195" s="2"/>
      <c r="AT195" s="5"/>
      <c r="AW195" s="2"/>
      <c r="AX195" s="2"/>
      <c r="AY195" s="2"/>
      <c r="AZ195" s="2"/>
      <c r="BA195" s="2"/>
      <c r="BB195" s="2"/>
      <c r="BC195" s="2"/>
    </row>
    <row r="196" spans="1:55" s="1" customFormat="1" ht="20.25" customHeight="1" x14ac:dyDescent="0.25">
      <c r="A196" s="101" t="s">
        <v>55</v>
      </c>
      <c r="B196"/>
      <c r="C196"/>
      <c r="D196"/>
      <c r="E196"/>
      <c r="F196"/>
      <c r="G196"/>
      <c r="H196"/>
      <c r="I196"/>
      <c r="J196"/>
      <c r="K196"/>
      <c r="L196"/>
      <c r="M196"/>
      <c r="N196"/>
      <c r="O196"/>
      <c r="P196"/>
      <c r="Q196"/>
      <c r="R196" s="27" t="str">
        <f>$B$49</f>
        <v/>
      </c>
      <c r="S196" s="29">
        <f>$C$49</f>
        <v>0</v>
      </c>
      <c r="T196" s="40"/>
      <c r="U196" s="17"/>
      <c r="V196" s="17"/>
      <c r="W196" s="17"/>
      <c r="X196" s="17"/>
      <c r="Z196" s="2"/>
      <c r="AA196" s="2"/>
      <c r="AB196" s="2"/>
      <c r="AD196" s="2"/>
      <c r="AE196" s="2"/>
      <c r="AF196" s="2"/>
      <c r="AG196" s="2"/>
      <c r="AH196" s="2"/>
      <c r="AT196" s="5"/>
      <c r="AW196" s="2"/>
      <c r="AX196" s="2"/>
      <c r="AY196" s="2"/>
      <c r="AZ196" s="2"/>
      <c r="BA196" s="2"/>
      <c r="BB196" s="2"/>
      <c r="BC196" s="2"/>
    </row>
    <row r="197" spans="1:55" s="1" customFormat="1" ht="20.25" customHeight="1" x14ac:dyDescent="0.25">
      <c r="A197" s="101" t="s">
        <v>55</v>
      </c>
      <c r="B197"/>
      <c r="C197"/>
      <c r="D197"/>
      <c r="E197"/>
      <c r="F197"/>
      <c r="G197"/>
      <c r="H197"/>
      <c r="I197"/>
      <c r="J197"/>
      <c r="K197"/>
      <c r="L197"/>
      <c r="M197"/>
      <c r="N197"/>
      <c r="O197"/>
      <c r="P197"/>
      <c r="Q197"/>
      <c r="R197" s="27" t="str">
        <f>$E$74</f>
        <v/>
      </c>
      <c r="S197" s="29">
        <f>$F$74</f>
        <v>0</v>
      </c>
      <c r="T197" s="16"/>
      <c r="U197" s="17"/>
      <c r="V197" s="17"/>
      <c r="W197" s="17"/>
      <c r="X197" s="17"/>
      <c r="Z197" s="2"/>
      <c r="AA197" s="2"/>
      <c r="AB197" s="2"/>
      <c r="AD197" s="2"/>
      <c r="AE197" s="2"/>
      <c r="AF197" s="2"/>
      <c r="AG197" s="2"/>
      <c r="AH197" s="2"/>
      <c r="AT197" s="5"/>
      <c r="AW197" s="2"/>
      <c r="AX197" s="2"/>
      <c r="AY197" s="2"/>
      <c r="AZ197" s="2"/>
      <c r="BA197" s="2"/>
      <c r="BB197" s="2"/>
      <c r="BC197" s="2"/>
    </row>
    <row r="198" spans="1:55" s="1" customFormat="1" ht="20.25" customHeight="1" x14ac:dyDescent="0.25">
      <c r="A198" s="101" t="s">
        <v>55</v>
      </c>
      <c r="B198"/>
      <c r="C198"/>
      <c r="D198"/>
      <c r="E198"/>
      <c r="F198"/>
      <c r="G198"/>
      <c r="H198"/>
      <c r="I198"/>
      <c r="J198"/>
      <c r="K198"/>
      <c r="L198"/>
      <c r="M198"/>
      <c r="N198"/>
      <c r="O198"/>
      <c r="P198"/>
      <c r="Q198"/>
      <c r="R198" s="27" t="str">
        <f>$B$36</f>
        <v/>
      </c>
      <c r="S198" s="29">
        <f>$C$36</f>
        <v>0</v>
      </c>
      <c r="T198" s="40"/>
      <c r="U198" s="17"/>
      <c r="V198" s="17"/>
      <c r="W198" s="17"/>
      <c r="X198" s="17"/>
      <c r="Z198" s="2"/>
      <c r="AA198" s="2"/>
      <c r="AB198" s="2"/>
      <c r="AD198" s="2"/>
      <c r="AE198" s="2"/>
      <c r="AF198" s="2"/>
      <c r="AG198" s="2"/>
      <c r="AH198" s="2"/>
      <c r="AT198" s="5"/>
      <c r="AW198" s="2"/>
      <c r="AX198" s="2"/>
      <c r="AY198" s="2"/>
      <c r="AZ198" s="2"/>
      <c r="BA198" s="2"/>
      <c r="BB198" s="2"/>
      <c r="BC198" s="2"/>
    </row>
    <row r="199" spans="1:55" s="1" customFormat="1" ht="20.25" customHeight="1" x14ac:dyDescent="0.25">
      <c r="A199" s="101" t="s">
        <v>55</v>
      </c>
      <c r="B199"/>
      <c r="C199"/>
      <c r="D199"/>
      <c r="E199"/>
      <c r="F199"/>
      <c r="G199"/>
      <c r="H199"/>
      <c r="I199"/>
      <c r="J199"/>
      <c r="K199"/>
      <c r="L199"/>
      <c r="M199"/>
      <c r="N199"/>
      <c r="O199"/>
      <c r="P199"/>
      <c r="Q199"/>
      <c r="R199" s="27" t="str">
        <f>$K$11</f>
        <v/>
      </c>
      <c r="S199" s="29">
        <f>$L$11</f>
        <v>0</v>
      </c>
      <c r="T199" s="40"/>
      <c r="U199" s="17"/>
      <c r="V199" s="17"/>
      <c r="W199" s="17"/>
      <c r="X199" s="17"/>
      <c r="Z199" s="2"/>
      <c r="AA199" s="2"/>
      <c r="AB199" s="2"/>
      <c r="AD199" s="2"/>
      <c r="AE199" s="2"/>
      <c r="AF199" s="2"/>
      <c r="AG199" s="2"/>
      <c r="AH199" s="2"/>
      <c r="AT199" s="5"/>
      <c r="AW199" s="2"/>
      <c r="AX199" s="2"/>
      <c r="AY199" s="2"/>
      <c r="AZ199" s="2"/>
      <c r="BA199" s="2"/>
      <c r="BB199" s="2"/>
      <c r="BC199" s="2"/>
    </row>
    <row r="200" spans="1:55" s="1" customFormat="1" ht="20.25" customHeight="1" x14ac:dyDescent="0.25">
      <c r="A200" s="101" t="s">
        <v>55</v>
      </c>
      <c r="B200"/>
      <c r="C200"/>
      <c r="D200"/>
      <c r="E200"/>
      <c r="F200"/>
      <c r="G200"/>
      <c r="H200"/>
      <c r="I200"/>
      <c r="J200"/>
      <c r="K200"/>
      <c r="L200"/>
      <c r="M200"/>
      <c r="N200"/>
      <c r="O200"/>
      <c r="P200"/>
      <c r="Q200"/>
      <c r="R200" s="27" t="str">
        <f>$E$61</f>
        <v/>
      </c>
      <c r="S200" s="29">
        <f>$F$61</f>
        <v>0</v>
      </c>
      <c r="T200" s="16"/>
      <c r="U200" s="17"/>
      <c r="V200" s="17"/>
      <c r="W200" s="17"/>
      <c r="X200" s="17"/>
      <c r="Z200" s="2"/>
      <c r="AA200" s="2"/>
      <c r="AB200" s="2"/>
      <c r="AD200" s="2"/>
      <c r="AE200" s="2"/>
      <c r="AF200" s="2"/>
      <c r="AG200" s="2"/>
      <c r="AH200" s="2"/>
      <c r="AT200" s="5"/>
      <c r="AW200" s="2"/>
      <c r="AX200" s="2"/>
      <c r="AY200" s="2"/>
      <c r="AZ200" s="2"/>
      <c r="BA200" s="2"/>
      <c r="BB200" s="2"/>
      <c r="BC200" s="2"/>
    </row>
    <row r="201" spans="1:55" s="1" customFormat="1" ht="20.25" customHeight="1" x14ac:dyDescent="0.25">
      <c r="A201" s="101" t="s">
        <v>55</v>
      </c>
      <c r="B201"/>
      <c r="C201"/>
      <c r="D201"/>
      <c r="E201"/>
      <c r="F201"/>
      <c r="G201"/>
      <c r="H201"/>
      <c r="I201"/>
      <c r="J201"/>
      <c r="K201"/>
      <c r="L201"/>
      <c r="M201"/>
      <c r="N201"/>
      <c r="O201"/>
      <c r="P201"/>
      <c r="Q201"/>
      <c r="R201" s="27" t="str">
        <f>$H$11</f>
        <v/>
      </c>
      <c r="S201" s="29">
        <f>$I$11</f>
        <v>0</v>
      </c>
      <c r="T201" s="40"/>
      <c r="U201" s="17"/>
      <c r="V201" s="17"/>
      <c r="W201" s="17"/>
      <c r="X201" s="17"/>
      <c r="Z201" s="2"/>
      <c r="AA201" s="2"/>
      <c r="AB201" s="2"/>
      <c r="AD201" s="2"/>
      <c r="AE201" s="2"/>
      <c r="AF201" s="2"/>
      <c r="AG201" s="2"/>
      <c r="AH201" s="2"/>
      <c r="AT201" s="5"/>
      <c r="AW201" s="2"/>
      <c r="AX201" s="2"/>
      <c r="AY201" s="2"/>
      <c r="AZ201" s="2"/>
      <c r="BA201" s="2"/>
      <c r="BB201" s="2"/>
      <c r="BC201" s="2"/>
    </row>
    <row r="202" spans="1:55" s="1" customFormat="1" ht="20.25" customHeight="1" x14ac:dyDescent="0.25">
      <c r="A202" s="101" t="s">
        <v>55</v>
      </c>
      <c r="B202"/>
      <c r="C202"/>
      <c r="D202"/>
      <c r="E202"/>
      <c r="F202"/>
      <c r="G202"/>
      <c r="H202"/>
      <c r="I202"/>
      <c r="J202"/>
      <c r="K202"/>
      <c r="L202"/>
      <c r="M202"/>
      <c r="N202"/>
      <c r="O202"/>
      <c r="P202"/>
      <c r="Q202"/>
      <c r="R202" s="27" t="str">
        <f>$K$61</f>
        <v/>
      </c>
      <c r="S202" s="29">
        <f>$L$61</f>
        <v>0</v>
      </c>
      <c r="T202" s="40"/>
      <c r="U202" s="17"/>
      <c r="V202" s="17"/>
      <c r="W202" s="17"/>
      <c r="X202" s="17"/>
      <c r="Z202" s="2"/>
      <c r="AA202" s="2"/>
      <c r="AB202" s="2"/>
      <c r="AD202" s="2"/>
      <c r="AE202" s="2"/>
      <c r="AF202" s="2"/>
      <c r="AG202" s="2"/>
      <c r="AH202" s="2"/>
      <c r="AT202" s="5"/>
      <c r="AW202" s="2"/>
      <c r="AX202" s="2"/>
      <c r="AY202" s="2"/>
      <c r="AZ202" s="2"/>
      <c r="BA202" s="2"/>
      <c r="BB202" s="2"/>
      <c r="BC202" s="2"/>
    </row>
    <row r="203" spans="1:55" s="1" customFormat="1" ht="20.25" customHeight="1" x14ac:dyDescent="0.25">
      <c r="A203" s="101" t="s">
        <v>55</v>
      </c>
      <c r="B203"/>
      <c r="C203"/>
      <c r="D203"/>
      <c r="E203"/>
      <c r="F203"/>
      <c r="G203"/>
      <c r="H203"/>
      <c r="I203"/>
      <c r="J203"/>
      <c r="K203"/>
      <c r="L203"/>
      <c r="M203"/>
      <c r="N203"/>
      <c r="O203"/>
      <c r="P203"/>
      <c r="Q203"/>
      <c r="R203" s="27" t="str">
        <f>$K$36</f>
        <v/>
      </c>
      <c r="S203" s="29">
        <f>$L$36</f>
        <v>0</v>
      </c>
      <c r="T203" s="16"/>
      <c r="U203" s="17"/>
      <c r="V203" s="17"/>
      <c r="W203" s="17"/>
      <c r="X203" s="17"/>
      <c r="Z203" s="2"/>
      <c r="AA203" s="2"/>
      <c r="AB203" s="2"/>
      <c r="AD203" s="2"/>
      <c r="AE203" s="2"/>
      <c r="AF203" s="2"/>
      <c r="AG203" s="2"/>
      <c r="AH203" s="2"/>
      <c r="AT203" s="5"/>
      <c r="AW203" s="2"/>
      <c r="AX203" s="2"/>
      <c r="AY203" s="2"/>
      <c r="AZ203" s="2"/>
      <c r="BA203" s="2"/>
      <c r="BB203" s="2"/>
      <c r="BC203" s="2"/>
    </row>
    <row r="204" spans="1:55" s="1" customFormat="1" ht="20.25" customHeight="1" x14ac:dyDescent="0.25">
      <c r="A204" s="101" t="s">
        <v>55</v>
      </c>
      <c r="B204"/>
      <c r="C204"/>
      <c r="D204"/>
      <c r="E204"/>
      <c r="F204"/>
      <c r="G204"/>
      <c r="H204"/>
      <c r="I204"/>
      <c r="J204"/>
      <c r="K204"/>
      <c r="L204"/>
      <c r="M204"/>
      <c r="N204"/>
      <c r="O204"/>
      <c r="P204"/>
      <c r="Q204"/>
      <c r="R204" s="27" t="str">
        <f>$E$33</f>
        <v/>
      </c>
      <c r="S204" s="29">
        <f>$F$33</f>
        <v>0</v>
      </c>
      <c r="T204" s="40"/>
      <c r="U204" s="17"/>
      <c r="V204" s="17"/>
      <c r="W204" s="17"/>
      <c r="X204" s="17"/>
      <c r="Z204" s="2"/>
      <c r="AA204" s="2"/>
      <c r="AB204" s="2"/>
      <c r="AD204" s="2"/>
      <c r="AE204" s="2"/>
      <c r="AF204" s="2"/>
      <c r="AG204" s="2"/>
      <c r="AH204" s="2"/>
      <c r="AT204" s="5"/>
      <c r="AW204" s="2"/>
      <c r="AX204" s="2"/>
      <c r="AY204" s="2"/>
      <c r="AZ204" s="2"/>
      <c r="BA204" s="2"/>
      <c r="BB204" s="2"/>
      <c r="BC204" s="2"/>
    </row>
    <row r="205" spans="1:55" s="1" customFormat="1" ht="20.25" customHeight="1" x14ac:dyDescent="0.25">
      <c r="A205" s="101" t="s">
        <v>55</v>
      </c>
      <c r="B205"/>
      <c r="C205"/>
      <c r="D205"/>
      <c r="E205"/>
      <c r="F205"/>
      <c r="G205"/>
      <c r="H205"/>
      <c r="I205"/>
      <c r="J205"/>
      <c r="K205"/>
      <c r="L205"/>
      <c r="M205"/>
      <c r="N205"/>
      <c r="O205"/>
      <c r="P205"/>
      <c r="Q205"/>
      <c r="R205" s="27" t="str">
        <f>$B$8</f>
        <v/>
      </c>
      <c r="S205" s="29">
        <f>$C$8</f>
        <v>0</v>
      </c>
      <c r="T205" s="40"/>
      <c r="U205" s="17"/>
      <c r="V205" s="17"/>
      <c r="W205" s="17"/>
      <c r="X205" s="17"/>
      <c r="Z205" s="2"/>
      <c r="AA205" s="2"/>
      <c r="AB205" s="2"/>
      <c r="AD205" s="2"/>
      <c r="AE205" s="2"/>
      <c r="AF205" s="2"/>
      <c r="AG205" s="2"/>
      <c r="AH205" s="2"/>
      <c r="AT205" s="5"/>
      <c r="AW205" s="2"/>
      <c r="AX205" s="2"/>
      <c r="AY205" s="2"/>
      <c r="AZ205" s="2"/>
      <c r="BA205" s="2"/>
      <c r="BB205" s="2"/>
      <c r="BC205" s="2"/>
    </row>
    <row r="206" spans="1:55" s="1" customFormat="1" ht="20.25" customHeight="1" x14ac:dyDescent="0.25">
      <c r="A206" s="101" t="s">
        <v>55</v>
      </c>
      <c r="B206"/>
      <c r="C206"/>
      <c r="D206"/>
      <c r="E206"/>
      <c r="F206"/>
      <c r="G206"/>
      <c r="H206"/>
      <c r="I206"/>
      <c r="J206"/>
      <c r="K206"/>
      <c r="L206"/>
      <c r="M206"/>
      <c r="N206"/>
      <c r="O206"/>
      <c r="P206"/>
      <c r="Q206"/>
      <c r="R206" s="27" t="str">
        <f>$H$58</f>
        <v/>
      </c>
      <c r="S206" s="29">
        <f>$I$58</f>
        <v>0</v>
      </c>
      <c r="T206" s="16"/>
      <c r="U206" s="17"/>
      <c r="V206" s="17"/>
      <c r="W206" s="17"/>
      <c r="X206" s="17"/>
      <c r="Z206" s="2"/>
      <c r="AA206" s="2"/>
      <c r="AB206" s="2"/>
      <c r="AD206" s="2"/>
      <c r="AE206" s="2"/>
      <c r="AF206" s="2"/>
      <c r="AG206" s="2"/>
      <c r="AH206" s="2"/>
      <c r="AT206" s="5"/>
      <c r="AW206" s="2"/>
      <c r="AX206" s="2"/>
      <c r="AY206" s="2"/>
      <c r="AZ206" s="2"/>
      <c r="BA206" s="2"/>
      <c r="BB206" s="2"/>
      <c r="BC206" s="2"/>
    </row>
    <row r="207" spans="1:55" s="1" customFormat="1" ht="20.25" customHeight="1" x14ac:dyDescent="0.25">
      <c r="A207" s="101" t="s">
        <v>55</v>
      </c>
      <c r="B207"/>
      <c r="C207"/>
      <c r="D207"/>
      <c r="E207"/>
      <c r="F207"/>
      <c r="G207"/>
      <c r="H207"/>
      <c r="I207"/>
      <c r="J207"/>
      <c r="K207"/>
      <c r="L207"/>
      <c r="M207"/>
      <c r="N207"/>
      <c r="O207"/>
      <c r="P207"/>
      <c r="Q207"/>
      <c r="R207" s="27" t="str">
        <f>$E$8</f>
        <v/>
      </c>
      <c r="S207" s="29">
        <f>$F$8</f>
        <v>0</v>
      </c>
      <c r="T207" s="40"/>
      <c r="U207" s="17"/>
      <c r="V207" s="17"/>
      <c r="W207" s="17"/>
      <c r="X207" s="17"/>
      <c r="Z207" s="2"/>
      <c r="AA207" s="2"/>
      <c r="AB207" s="2"/>
      <c r="AD207" s="2"/>
      <c r="AE207" s="2"/>
      <c r="AF207" s="2"/>
      <c r="AG207" s="2"/>
      <c r="AH207" s="2"/>
      <c r="AT207" s="5"/>
      <c r="AW207" s="2"/>
      <c r="AX207" s="2"/>
      <c r="AY207" s="2"/>
      <c r="AZ207" s="2"/>
      <c r="BA207" s="2"/>
      <c r="BB207" s="2"/>
      <c r="BC207" s="2"/>
    </row>
    <row r="208" spans="1:55" s="1" customFormat="1" ht="20.25" customHeight="1" x14ac:dyDescent="0.25">
      <c r="A208" s="101" t="s">
        <v>55</v>
      </c>
      <c r="B208"/>
      <c r="C208"/>
      <c r="D208"/>
      <c r="E208"/>
      <c r="F208"/>
      <c r="G208"/>
      <c r="H208"/>
      <c r="I208"/>
      <c r="J208"/>
      <c r="K208"/>
      <c r="L208"/>
      <c r="M208"/>
      <c r="N208"/>
      <c r="O208"/>
      <c r="P208"/>
      <c r="Q208"/>
      <c r="R208" s="27" t="str">
        <f>$B$58</f>
        <v/>
      </c>
      <c r="S208" s="29">
        <f>$C$58</f>
        <v>0</v>
      </c>
      <c r="T208" s="40"/>
      <c r="U208" s="17"/>
      <c r="V208" s="17"/>
      <c r="W208" s="17"/>
      <c r="X208" s="17"/>
      <c r="Z208" s="2"/>
      <c r="AA208" s="2"/>
      <c r="AB208" s="2"/>
      <c r="AD208" s="2"/>
      <c r="AE208" s="2"/>
      <c r="AF208" s="2"/>
      <c r="AG208" s="2"/>
      <c r="AH208" s="2"/>
      <c r="AT208" s="5"/>
      <c r="AW208" s="2"/>
      <c r="AX208" s="2"/>
      <c r="AY208" s="2"/>
      <c r="AZ208" s="2"/>
      <c r="BA208" s="2"/>
      <c r="BB208" s="2"/>
      <c r="BC208" s="2"/>
    </row>
    <row r="209" spans="1:55" s="1" customFormat="1" ht="20.25" customHeight="1" x14ac:dyDescent="0.25">
      <c r="A209" s="101" t="s">
        <v>55</v>
      </c>
      <c r="B209"/>
      <c r="C209"/>
      <c r="D209"/>
      <c r="E209"/>
      <c r="F209"/>
      <c r="G209"/>
      <c r="H209"/>
      <c r="I209"/>
      <c r="J209"/>
      <c r="K209"/>
      <c r="L209"/>
      <c r="M209"/>
      <c r="N209"/>
      <c r="O209"/>
      <c r="P209"/>
      <c r="Q209"/>
      <c r="R209" s="27" t="str">
        <f>$H$33</f>
        <v/>
      </c>
      <c r="S209" s="29">
        <f>$I$33</f>
        <v>0</v>
      </c>
      <c r="T209" s="16"/>
      <c r="U209" s="17"/>
      <c r="V209" s="17"/>
      <c r="W209" s="17"/>
      <c r="X209" s="17"/>
      <c r="Z209" s="2"/>
      <c r="AA209" s="2"/>
      <c r="AB209" s="2"/>
      <c r="AD209" s="2"/>
      <c r="AE209" s="2"/>
      <c r="AF209" s="2"/>
      <c r="AG209" s="2"/>
      <c r="AH209" s="2"/>
      <c r="AT209" s="5"/>
      <c r="AW209" s="2"/>
      <c r="AX209" s="2"/>
      <c r="AY209" s="2"/>
      <c r="AZ209" s="2"/>
      <c r="BA209" s="2"/>
      <c r="BB209" s="2"/>
      <c r="BC209" s="2"/>
    </row>
    <row r="210" spans="1:55" s="1" customFormat="1" ht="20.25" customHeight="1" x14ac:dyDescent="0.25">
      <c r="A210" s="101" t="s">
        <v>55</v>
      </c>
      <c r="B210"/>
      <c r="C210"/>
      <c r="D210"/>
      <c r="E210"/>
      <c r="F210"/>
      <c r="G210"/>
      <c r="H210"/>
      <c r="I210"/>
      <c r="J210"/>
      <c r="K210"/>
      <c r="L210"/>
      <c r="M210"/>
      <c r="N210"/>
      <c r="O210"/>
      <c r="P210"/>
      <c r="Q210"/>
      <c r="R210" s="27" t="str">
        <f>$H$8</f>
        <v/>
      </c>
      <c r="S210" s="29">
        <f>$I$8</f>
        <v>0</v>
      </c>
      <c r="T210" s="40"/>
      <c r="U210" s="17"/>
      <c r="V210" s="17"/>
      <c r="W210" s="17"/>
      <c r="X210" s="17"/>
      <c r="Z210" s="2"/>
      <c r="AA210" s="2"/>
      <c r="AB210" s="2"/>
      <c r="AD210" s="2"/>
      <c r="AE210" s="2"/>
      <c r="AF210" s="2"/>
      <c r="AG210" s="2"/>
      <c r="AH210" s="2"/>
      <c r="AT210" s="5"/>
      <c r="AW210" s="2"/>
      <c r="AX210" s="2"/>
      <c r="AY210" s="2"/>
      <c r="AZ210" s="2"/>
      <c r="BA210" s="2"/>
      <c r="BB210" s="2"/>
      <c r="BC210" s="2"/>
    </row>
    <row r="211" spans="1:55" s="1" customFormat="1" ht="20.25" customHeight="1" x14ac:dyDescent="0.25">
      <c r="A211" s="101" t="s">
        <v>55</v>
      </c>
      <c r="B211"/>
      <c r="C211"/>
      <c r="D211"/>
      <c r="E211"/>
      <c r="F211"/>
      <c r="G211"/>
      <c r="H211"/>
      <c r="I211"/>
      <c r="J211"/>
      <c r="K211"/>
      <c r="L211"/>
      <c r="M211"/>
      <c r="N211"/>
      <c r="O211"/>
      <c r="P211"/>
      <c r="Q211"/>
      <c r="R211" s="27" t="str">
        <f>$K$58</f>
        <v/>
      </c>
      <c r="S211" s="29">
        <f>$L$58</f>
        <v>0</v>
      </c>
      <c r="T211" s="40"/>
      <c r="U211" s="17"/>
      <c r="V211" s="17"/>
      <c r="W211" s="17"/>
      <c r="X211" s="17"/>
      <c r="Z211" s="2"/>
      <c r="AA211" s="2"/>
      <c r="AB211" s="2"/>
      <c r="AD211" s="2"/>
      <c r="AE211" s="2"/>
      <c r="AF211" s="2"/>
      <c r="AG211" s="2"/>
      <c r="AH211" s="2"/>
      <c r="AT211" s="5"/>
      <c r="AW211" s="2"/>
      <c r="AX211" s="2"/>
      <c r="AY211" s="2"/>
      <c r="AZ211" s="2"/>
      <c r="BA211" s="2"/>
      <c r="BB211" s="2"/>
      <c r="BC211" s="2"/>
    </row>
    <row r="212" spans="1:55" s="1" customFormat="1" ht="20.25" customHeight="1" x14ac:dyDescent="0.25">
      <c r="A212" s="101" t="s">
        <v>55</v>
      </c>
      <c r="B212"/>
      <c r="C212"/>
      <c r="D212"/>
      <c r="E212"/>
      <c r="F212"/>
      <c r="G212"/>
      <c r="H212"/>
      <c r="I212"/>
      <c r="J212"/>
      <c r="K212"/>
      <c r="L212"/>
      <c r="M212"/>
      <c r="N212"/>
      <c r="O212"/>
      <c r="P212"/>
      <c r="Q212"/>
      <c r="R212" s="27" t="str">
        <f>$K$33</f>
        <v/>
      </c>
      <c r="S212" s="29">
        <f>$L$33</f>
        <v>0</v>
      </c>
      <c r="T212" s="16"/>
      <c r="U212" s="17"/>
      <c r="V212" s="17"/>
      <c r="W212" s="17"/>
      <c r="X212" s="17"/>
      <c r="Z212" s="2"/>
      <c r="AA212" s="2"/>
      <c r="AB212" s="2"/>
      <c r="AD212" s="2"/>
      <c r="AE212" s="2"/>
      <c r="AF212" s="2"/>
      <c r="AG212" s="2"/>
      <c r="AH212" s="2"/>
      <c r="AT212" s="5"/>
      <c r="AW212" s="2"/>
      <c r="AX212" s="2"/>
      <c r="AY212" s="2"/>
      <c r="AZ212" s="2"/>
      <c r="BA212" s="2"/>
      <c r="BB212" s="2"/>
      <c r="BC212" s="2"/>
    </row>
    <row r="213" spans="1:55" s="1" customFormat="1" ht="20.25" customHeight="1" x14ac:dyDescent="0.25">
      <c r="A213" s="101" t="s">
        <v>55</v>
      </c>
      <c r="B213"/>
      <c r="C213"/>
      <c r="D213"/>
      <c r="E213"/>
      <c r="F213"/>
      <c r="G213"/>
      <c r="H213"/>
      <c r="I213"/>
      <c r="J213"/>
      <c r="K213"/>
      <c r="L213"/>
      <c r="M213"/>
      <c r="N213"/>
      <c r="O213"/>
      <c r="P213"/>
      <c r="Q213"/>
      <c r="R213" s="27" t="str">
        <f>$B$33</f>
        <v/>
      </c>
      <c r="S213" s="29">
        <f>$C$33</f>
        <v>0</v>
      </c>
      <c r="T213" s="40"/>
      <c r="U213" s="17"/>
      <c r="V213" s="17"/>
      <c r="W213" s="17"/>
      <c r="X213" s="17"/>
      <c r="Z213" s="2"/>
      <c r="AA213" s="2"/>
      <c r="AB213" s="2"/>
      <c r="AD213" s="2"/>
      <c r="AE213" s="2"/>
      <c r="AF213" s="2"/>
      <c r="AG213" s="2"/>
      <c r="AH213" s="2"/>
      <c r="AT213" s="5"/>
      <c r="AW213" s="2"/>
      <c r="AX213" s="2"/>
      <c r="AY213" s="2"/>
      <c r="AZ213" s="2"/>
      <c r="BA213" s="2"/>
      <c r="BB213" s="2"/>
      <c r="BC213" s="2"/>
    </row>
    <row r="214" spans="1:55" s="1" customFormat="1" ht="20.25" customHeight="1" x14ac:dyDescent="0.25">
      <c r="A214" s="101" t="s">
        <v>55</v>
      </c>
      <c r="B214"/>
      <c r="C214"/>
      <c r="D214"/>
      <c r="E214"/>
      <c r="F214"/>
      <c r="G214"/>
      <c r="H214"/>
      <c r="I214"/>
      <c r="J214"/>
      <c r="K214"/>
      <c r="L214"/>
      <c r="M214"/>
      <c r="N214"/>
      <c r="O214"/>
      <c r="P214"/>
      <c r="Q214"/>
      <c r="R214" s="27" t="str">
        <f>$K$8</f>
        <v/>
      </c>
      <c r="S214" s="29">
        <f>$L$8</f>
        <v>0</v>
      </c>
      <c r="T214" s="40"/>
      <c r="U214" s="17"/>
      <c r="V214" s="17"/>
      <c r="W214" s="17"/>
      <c r="X214" s="17"/>
      <c r="Z214" s="2"/>
      <c r="AA214" s="2"/>
      <c r="AB214" s="2"/>
      <c r="AD214" s="2"/>
      <c r="AE214" s="2"/>
      <c r="AF214" s="2"/>
      <c r="AG214" s="2"/>
      <c r="AH214" s="2"/>
      <c r="AT214" s="5"/>
      <c r="AW214" s="2"/>
      <c r="AX214" s="2"/>
      <c r="AY214" s="2"/>
      <c r="AZ214" s="2"/>
      <c r="BA214" s="2"/>
      <c r="BB214" s="2"/>
      <c r="BC214" s="2"/>
    </row>
    <row r="215" spans="1:55" s="1" customFormat="1" ht="20.25" customHeight="1" x14ac:dyDescent="0.25">
      <c r="A215" s="101" t="s">
        <v>55</v>
      </c>
      <c r="B215"/>
      <c r="C215"/>
      <c r="D215"/>
      <c r="E215"/>
      <c r="F215"/>
      <c r="G215"/>
      <c r="H215"/>
      <c r="I215"/>
      <c r="J215"/>
      <c r="K215"/>
      <c r="L215"/>
      <c r="M215"/>
      <c r="N215"/>
      <c r="O215"/>
      <c r="P215"/>
      <c r="Q215"/>
      <c r="R215" s="27" t="str">
        <f>$E$58</f>
        <v/>
      </c>
      <c r="S215" s="29">
        <f>$F$58</f>
        <v>0</v>
      </c>
      <c r="T215" s="16"/>
      <c r="U215" s="17"/>
      <c r="V215" s="17"/>
      <c r="W215" s="17"/>
      <c r="X215" s="17"/>
      <c r="Z215" s="2"/>
      <c r="AA215" s="2"/>
      <c r="AB215" s="2"/>
      <c r="AD215" s="2"/>
      <c r="AE215" s="2"/>
      <c r="AF215" s="2"/>
      <c r="AG215" s="2"/>
      <c r="AH215" s="2"/>
      <c r="AT215" s="5"/>
      <c r="AW215" s="2"/>
      <c r="AX215" s="2"/>
      <c r="AY215" s="2"/>
      <c r="AZ215" s="2"/>
      <c r="BA215" s="2"/>
      <c r="BB215" s="2"/>
      <c r="BC215" s="2"/>
    </row>
    <row r="216" spans="1:55" s="1" customFormat="1" ht="20.25" customHeight="1" x14ac:dyDescent="0.25">
      <c r="A216" s="101" t="s">
        <v>55</v>
      </c>
      <c r="B216"/>
      <c r="C216"/>
      <c r="D216"/>
      <c r="E216"/>
      <c r="F216"/>
      <c r="G216"/>
      <c r="H216"/>
      <c r="I216"/>
      <c r="J216"/>
      <c r="K216"/>
      <c r="L216"/>
      <c r="M216"/>
      <c r="N216"/>
      <c r="O216"/>
      <c r="P216"/>
      <c r="Q216"/>
      <c r="R216" s="27" t="str">
        <f>$H$59</f>
        <v/>
      </c>
      <c r="S216" s="29">
        <f>$I$59</f>
        <v>0</v>
      </c>
      <c r="T216" s="40"/>
      <c r="U216" s="17"/>
      <c r="V216" s="17"/>
      <c r="W216" s="17"/>
      <c r="X216" s="17"/>
      <c r="Z216" s="2"/>
      <c r="AA216" s="2"/>
      <c r="AB216" s="2"/>
      <c r="AD216" s="2"/>
      <c r="AE216" s="2"/>
      <c r="AF216" s="2"/>
      <c r="AG216" s="2"/>
      <c r="AH216" s="2"/>
      <c r="AT216" s="5"/>
      <c r="AW216" s="2"/>
      <c r="AX216" s="2"/>
      <c r="AY216" s="2"/>
      <c r="AZ216" s="2"/>
      <c r="BA216" s="2"/>
      <c r="BB216" s="2"/>
      <c r="BC216" s="2"/>
    </row>
    <row r="217" spans="1:55" s="1" customFormat="1" ht="20.25" customHeight="1" x14ac:dyDescent="0.25">
      <c r="A217" s="101" t="s">
        <v>55</v>
      </c>
      <c r="B217"/>
      <c r="C217"/>
      <c r="D217"/>
      <c r="E217"/>
      <c r="F217"/>
      <c r="G217"/>
      <c r="H217"/>
      <c r="I217"/>
      <c r="J217"/>
      <c r="K217"/>
      <c r="L217"/>
      <c r="M217"/>
      <c r="N217"/>
      <c r="O217"/>
      <c r="P217"/>
      <c r="Q217"/>
      <c r="R217" s="27" t="str">
        <f>$B$9</f>
        <v/>
      </c>
      <c r="S217" s="29">
        <f>$C$9</f>
        <v>0</v>
      </c>
      <c r="T217" s="40"/>
      <c r="U217" s="17"/>
      <c r="V217" s="17"/>
      <c r="W217" s="17"/>
      <c r="X217" s="17"/>
      <c r="Z217" s="2"/>
      <c r="AA217" s="2"/>
      <c r="AB217" s="2"/>
      <c r="AD217" s="2"/>
      <c r="AE217" s="2"/>
      <c r="AF217" s="2"/>
      <c r="AG217" s="2"/>
      <c r="AH217" s="2"/>
      <c r="AT217" s="5"/>
      <c r="AW217" s="2"/>
      <c r="AX217" s="2"/>
      <c r="AY217" s="2"/>
      <c r="AZ217" s="2"/>
      <c r="BA217" s="2"/>
      <c r="BB217" s="2"/>
      <c r="BC217" s="2"/>
    </row>
    <row r="218" spans="1:55" s="1" customFormat="1" ht="20.25" customHeight="1" x14ac:dyDescent="0.25">
      <c r="A218" s="101" t="s">
        <v>55</v>
      </c>
      <c r="B218"/>
      <c r="C218"/>
      <c r="D218"/>
      <c r="E218"/>
      <c r="F218"/>
      <c r="G218"/>
      <c r="H218"/>
      <c r="I218"/>
      <c r="J218"/>
      <c r="K218"/>
      <c r="L218"/>
      <c r="M218"/>
      <c r="N218"/>
      <c r="O218"/>
      <c r="P218"/>
      <c r="Q218"/>
      <c r="R218" s="27" t="str">
        <f>$E$34</f>
        <v/>
      </c>
      <c r="S218" s="29">
        <f>$F$34</f>
        <v>0</v>
      </c>
      <c r="T218" s="16"/>
      <c r="U218" s="17"/>
      <c r="V218" s="17"/>
      <c r="W218" s="17"/>
      <c r="X218" s="17"/>
      <c r="Z218" s="2"/>
      <c r="AA218" s="2"/>
      <c r="AB218" s="2"/>
      <c r="AD218" s="2"/>
      <c r="AE218" s="2"/>
      <c r="AF218" s="2"/>
      <c r="AG218" s="2"/>
      <c r="AH218" s="2"/>
      <c r="AT218" s="5"/>
      <c r="AW218" s="2"/>
      <c r="AX218" s="2"/>
      <c r="AY218" s="2"/>
      <c r="AZ218" s="2"/>
      <c r="BA218" s="2"/>
      <c r="BB218" s="2"/>
      <c r="BC218" s="2"/>
    </row>
    <row r="219" spans="1:55" s="1" customFormat="1" ht="20.25" customHeight="1" x14ac:dyDescent="0.25">
      <c r="A219" s="101" t="s">
        <v>55</v>
      </c>
      <c r="B219"/>
      <c r="C219"/>
      <c r="D219"/>
      <c r="E219"/>
      <c r="F219"/>
      <c r="G219"/>
      <c r="H219"/>
      <c r="I219"/>
      <c r="J219"/>
      <c r="K219"/>
      <c r="L219"/>
      <c r="M219"/>
      <c r="N219"/>
      <c r="O219"/>
      <c r="P219"/>
      <c r="Q219"/>
      <c r="R219" s="27" t="str">
        <f>$H$34</f>
        <v/>
      </c>
      <c r="S219" s="29">
        <f>$I$34</f>
        <v>0</v>
      </c>
      <c r="T219" s="40"/>
      <c r="U219" s="17"/>
      <c r="V219" s="17"/>
      <c r="W219" s="17"/>
      <c r="X219" s="17"/>
      <c r="Z219" s="2"/>
      <c r="AA219" s="2"/>
      <c r="AB219" s="2"/>
      <c r="AD219" s="2"/>
      <c r="AE219" s="2"/>
      <c r="AF219" s="2"/>
      <c r="AG219" s="2"/>
      <c r="AH219" s="2"/>
      <c r="AT219" s="5"/>
      <c r="AW219" s="2"/>
      <c r="AX219" s="2"/>
      <c r="AY219" s="2"/>
      <c r="AZ219" s="2"/>
      <c r="BA219" s="2"/>
      <c r="BB219" s="2"/>
      <c r="BC219" s="2"/>
    </row>
    <row r="220" spans="1:55" s="1" customFormat="1" ht="20.25" customHeight="1" x14ac:dyDescent="0.25">
      <c r="A220" s="101" t="s">
        <v>55</v>
      </c>
      <c r="B220"/>
      <c r="C220"/>
      <c r="D220"/>
      <c r="E220"/>
      <c r="F220"/>
      <c r="G220"/>
      <c r="H220"/>
      <c r="I220"/>
      <c r="J220"/>
      <c r="K220"/>
      <c r="L220"/>
      <c r="M220"/>
      <c r="N220"/>
      <c r="O220"/>
      <c r="P220"/>
      <c r="Q220"/>
      <c r="R220" s="27" t="str">
        <f>$B$59</f>
        <v/>
      </c>
      <c r="S220" s="29">
        <f>$C$59</f>
        <v>0</v>
      </c>
      <c r="T220" s="40"/>
      <c r="U220" s="17"/>
      <c r="V220" s="17"/>
      <c r="W220" s="17"/>
      <c r="X220" s="17"/>
      <c r="Z220" s="2"/>
      <c r="AA220" s="2"/>
      <c r="AB220" s="2"/>
      <c r="AD220" s="2"/>
      <c r="AE220" s="2"/>
      <c r="AF220" s="2"/>
      <c r="AG220" s="2"/>
      <c r="AH220" s="2"/>
      <c r="AT220" s="5"/>
      <c r="AW220" s="2"/>
      <c r="AX220" s="2"/>
      <c r="AY220" s="2"/>
      <c r="AZ220" s="2"/>
      <c r="BA220" s="2"/>
      <c r="BB220" s="2"/>
      <c r="BC220" s="2"/>
    </row>
    <row r="221" spans="1:55" s="1" customFormat="1" ht="20.25" customHeight="1" x14ac:dyDescent="0.25">
      <c r="A221" s="101" t="s">
        <v>55</v>
      </c>
      <c r="B221"/>
      <c r="C221"/>
      <c r="D221"/>
      <c r="E221"/>
      <c r="F221"/>
      <c r="G221"/>
      <c r="H221"/>
      <c r="I221"/>
      <c r="J221"/>
      <c r="K221"/>
      <c r="L221"/>
      <c r="M221"/>
      <c r="N221"/>
      <c r="O221"/>
      <c r="P221"/>
      <c r="Q221"/>
      <c r="R221" s="27" t="str">
        <f>$E$9</f>
        <v/>
      </c>
      <c r="S221" s="29">
        <f>$F$9</f>
        <v>0</v>
      </c>
      <c r="T221" s="16"/>
      <c r="U221" s="17"/>
      <c r="V221" s="17"/>
      <c r="W221" s="17"/>
      <c r="X221" s="17"/>
      <c r="Z221" s="2"/>
      <c r="AA221" s="2"/>
      <c r="AB221" s="2"/>
      <c r="AD221" s="2"/>
      <c r="AE221" s="2"/>
      <c r="AF221" s="2"/>
      <c r="AG221" s="2"/>
      <c r="AH221" s="2"/>
      <c r="AT221" s="5"/>
      <c r="AW221" s="2"/>
      <c r="AX221" s="2"/>
      <c r="AY221" s="2"/>
      <c r="AZ221" s="2"/>
      <c r="BA221" s="2"/>
      <c r="BB221" s="2"/>
      <c r="BC221" s="2"/>
    </row>
    <row r="222" spans="1:55" s="1" customFormat="1" ht="20.25" customHeight="1" x14ac:dyDescent="0.25">
      <c r="A222" s="101" t="s">
        <v>55</v>
      </c>
      <c r="B222"/>
      <c r="C222"/>
      <c r="D222"/>
      <c r="E222"/>
      <c r="F222"/>
      <c r="G222"/>
      <c r="H222"/>
      <c r="I222"/>
      <c r="J222"/>
      <c r="K222"/>
      <c r="L222"/>
      <c r="M222"/>
      <c r="N222"/>
      <c r="O222"/>
      <c r="P222"/>
      <c r="Q222"/>
      <c r="R222" s="27" t="str">
        <f>$H$9</f>
        <v/>
      </c>
      <c r="S222" s="29">
        <f>$I$9</f>
        <v>0</v>
      </c>
      <c r="T222" s="40"/>
      <c r="U222" s="17"/>
      <c r="V222" s="17"/>
      <c r="W222" s="17"/>
      <c r="X222" s="17"/>
      <c r="Z222" s="2"/>
      <c r="AA222" s="2"/>
      <c r="AB222" s="2"/>
      <c r="AD222" s="2"/>
      <c r="AE222" s="2"/>
      <c r="AF222" s="2"/>
      <c r="AG222" s="2"/>
      <c r="AH222" s="2"/>
      <c r="AT222" s="5"/>
      <c r="AW222" s="2"/>
      <c r="AX222" s="2"/>
      <c r="AY222" s="2"/>
      <c r="AZ222" s="2"/>
      <c r="BA222" s="2"/>
      <c r="BB222" s="2"/>
      <c r="BC222" s="2"/>
    </row>
    <row r="223" spans="1:55" s="1" customFormat="1" ht="20.25" customHeight="1" x14ac:dyDescent="0.25">
      <c r="A223" s="101" t="s">
        <v>55</v>
      </c>
      <c r="B223"/>
      <c r="C223"/>
      <c r="D223"/>
      <c r="E223"/>
      <c r="F223"/>
      <c r="G223"/>
      <c r="H223"/>
      <c r="I223"/>
      <c r="J223"/>
      <c r="K223"/>
      <c r="L223"/>
      <c r="M223"/>
      <c r="N223"/>
      <c r="O223"/>
      <c r="P223"/>
      <c r="Q223"/>
      <c r="R223" s="27" t="str">
        <f>$K$34</f>
        <v/>
      </c>
      <c r="S223" s="29">
        <f>$L$34</f>
        <v>0</v>
      </c>
      <c r="T223" s="40"/>
      <c r="U223" s="17"/>
      <c r="V223" s="17"/>
      <c r="W223" s="17"/>
      <c r="X223" s="17"/>
      <c r="Z223" s="2"/>
      <c r="AA223" s="2"/>
      <c r="AB223" s="2"/>
      <c r="AD223" s="2"/>
      <c r="AE223" s="2"/>
      <c r="AF223" s="2"/>
      <c r="AG223" s="2"/>
      <c r="AH223" s="2"/>
      <c r="AT223" s="5"/>
      <c r="AW223" s="2"/>
      <c r="AX223" s="2"/>
      <c r="AY223" s="2"/>
      <c r="AZ223" s="2"/>
      <c r="BA223" s="2"/>
      <c r="BB223" s="2"/>
      <c r="BC223" s="2"/>
    </row>
    <row r="224" spans="1:55" s="1" customFormat="1" ht="20.25" customHeight="1" x14ac:dyDescent="0.25">
      <c r="A224" s="101" t="s">
        <v>55</v>
      </c>
      <c r="B224"/>
      <c r="C224"/>
      <c r="D224"/>
      <c r="E224"/>
      <c r="F224"/>
      <c r="G224"/>
      <c r="H224"/>
      <c r="I224"/>
      <c r="J224"/>
      <c r="K224"/>
      <c r="L224"/>
      <c r="M224"/>
      <c r="N224"/>
      <c r="O224"/>
      <c r="P224"/>
      <c r="Q224"/>
      <c r="R224" s="27" t="str">
        <f>$K$59</f>
        <v/>
      </c>
      <c r="S224" s="29">
        <f>$L$59</f>
        <v>0</v>
      </c>
      <c r="T224" s="16"/>
      <c r="U224" s="17"/>
      <c r="V224" s="17"/>
      <c r="W224" s="17"/>
      <c r="X224" s="17"/>
      <c r="Z224" s="2"/>
      <c r="AA224" s="2"/>
      <c r="AB224" s="2"/>
      <c r="AD224" s="2"/>
      <c r="AE224" s="2"/>
      <c r="AF224" s="2"/>
      <c r="AG224" s="2"/>
      <c r="AH224" s="2"/>
      <c r="AT224" s="5"/>
      <c r="AW224" s="2"/>
      <c r="AX224" s="2"/>
      <c r="AY224" s="2"/>
      <c r="AZ224" s="2"/>
      <c r="BA224" s="2"/>
      <c r="BB224" s="2"/>
      <c r="BC224" s="2"/>
    </row>
    <row r="225" spans="1:55" s="1" customFormat="1" ht="20.25" customHeight="1" x14ac:dyDescent="0.25">
      <c r="A225" s="101" t="s">
        <v>55</v>
      </c>
      <c r="B225"/>
      <c r="C225"/>
      <c r="D225"/>
      <c r="E225"/>
      <c r="F225"/>
      <c r="G225"/>
      <c r="H225"/>
      <c r="I225"/>
      <c r="J225"/>
      <c r="K225"/>
      <c r="L225"/>
      <c r="M225"/>
      <c r="N225"/>
      <c r="O225"/>
      <c r="P225"/>
      <c r="Q225"/>
      <c r="R225" s="27" t="str">
        <f>$K$9</f>
        <v/>
      </c>
      <c r="S225" s="29">
        <f>$L$9</f>
        <v>0</v>
      </c>
      <c r="T225" s="40"/>
      <c r="U225" s="17"/>
      <c r="V225" s="17"/>
      <c r="W225" s="17"/>
      <c r="X225" s="17"/>
      <c r="Z225" s="2"/>
      <c r="AA225" s="2"/>
      <c r="AB225" s="2"/>
      <c r="AD225" s="2"/>
      <c r="AE225" s="2"/>
      <c r="AF225" s="2"/>
      <c r="AG225" s="2"/>
      <c r="AH225" s="2"/>
      <c r="AT225" s="5"/>
      <c r="AW225" s="2"/>
      <c r="AX225" s="2"/>
      <c r="AY225" s="2"/>
      <c r="AZ225" s="2"/>
      <c r="BA225" s="2"/>
      <c r="BB225" s="2"/>
      <c r="BC225" s="2"/>
    </row>
    <row r="226" spans="1:55" s="1" customFormat="1" ht="20.25" customHeight="1" x14ac:dyDescent="0.25">
      <c r="A226" s="101" t="s">
        <v>55</v>
      </c>
      <c r="B226"/>
      <c r="C226"/>
      <c r="D226"/>
      <c r="E226"/>
      <c r="F226"/>
      <c r="G226"/>
      <c r="H226"/>
      <c r="I226"/>
      <c r="J226"/>
      <c r="K226"/>
      <c r="L226"/>
      <c r="M226"/>
      <c r="N226"/>
      <c r="O226"/>
      <c r="P226"/>
      <c r="Q226"/>
      <c r="R226" s="27" t="str">
        <f>$B$34</f>
        <v/>
      </c>
      <c r="S226" s="29">
        <f>$C$34</f>
        <v>0</v>
      </c>
      <c r="T226" s="40"/>
      <c r="U226" s="17"/>
      <c r="V226" s="17"/>
      <c r="W226" s="17"/>
      <c r="X226" s="17"/>
      <c r="Z226" s="2"/>
      <c r="AA226" s="2"/>
      <c r="AB226" s="2"/>
      <c r="AD226" s="2"/>
      <c r="AE226" s="2"/>
      <c r="AF226" s="2"/>
      <c r="AG226" s="2"/>
      <c r="AH226" s="2"/>
      <c r="AT226" s="5"/>
      <c r="AW226" s="2"/>
      <c r="AX226" s="2"/>
      <c r="AY226" s="2"/>
      <c r="AZ226" s="2"/>
      <c r="BA226" s="2"/>
      <c r="BB226" s="2"/>
      <c r="BC226" s="2"/>
    </row>
    <row r="227" spans="1:55" s="1" customFormat="1" ht="20.25" customHeight="1" x14ac:dyDescent="0.25">
      <c r="A227" s="101" t="s">
        <v>55</v>
      </c>
      <c r="B227"/>
      <c r="C227"/>
      <c r="D227"/>
      <c r="E227"/>
      <c r="F227"/>
      <c r="G227"/>
      <c r="H227"/>
      <c r="I227"/>
      <c r="J227"/>
      <c r="K227"/>
      <c r="L227"/>
      <c r="M227"/>
      <c r="N227"/>
      <c r="O227"/>
      <c r="P227"/>
      <c r="Q227"/>
      <c r="R227" s="27" t="str">
        <f>$E$59</f>
        <v/>
      </c>
      <c r="S227" s="29">
        <f>$F$59</f>
        <v>0</v>
      </c>
      <c r="T227" s="16"/>
      <c r="U227" s="17"/>
      <c r="V227" s="17"/>
      <c r="W227" s="17"/>
      <c r="X227" s="17"/>
      <c r="Z227" s="2"/>
      <c r="AA227" s="2"/>
      <c r="AB227" s="2"/>
      <c r="AD227" s="2"/>
      <c r="AE227" s="2"/>
      <c r="AF227" s="2"/>
      <c r="AG227" s="2"/>
      <c r="AH227" s="2"/>
      <c r="AT227" s="5"/>
      <c r="AW227" s="2"/>
      <c r="AX227" s="2"/>
      <c r="AY227" s="2"/>
      <c r="AZ227" s="2"/>
      <c r="BA227" s="2"/>
      <c r="BB227" s="2"/>
      <c r="BC227" s="2"/>
    </row>
    <row r="228" spans="1:55" s="1" customFormat="1" ht="20.25" customHeight="1" x14ac:dyDescent="0.25">
      <c r="A228" s="101" t="s">
        <v>55</v>
      </c>
      <c r="B228"/>
      <c r="C228"/>
      <c r="D228"/>
      <c r="E228"/>
      <c r="F228"/>
      <c r="G228"/>
      <c r="H228"/>
      <c r="I228"/>
      <c r="J228"/>
      <c r="K228"/>
      <c r="L228"/>
      <c r="M228"/>
      <c r="N228"/>
      <c r="O228"/>
      <c r="P228"/>
      <c r="Q228"/>
      <c r="R228" s="27" t="str">
        <f>$B$10</f>
        <v/>
      </c>
      <c r="S228" s="29">
        <f>$C$10</f>
        <v>0</v>
      </c>
      <c r="T228" s="40"/>
      <c r="U228" s="17"/>
      <c r="V228" s="17"/>
      <c r="W228" s="17"/>
      <c r="X228" s="17"/>
      <c r="Z228" s="2"/>
      <c r="AA228" s="2"/>
      <c r="AB228" s="2"/>
      <c r="AD228" s="2"/>
      <c r="AE228" s="2"/>
      <c r="AF228" s="2"/>
      <c r="AG228" s="2"/>
      <c r="AH228" s="2"/>
      <c r="AT228" s="5"/>
      <c r="AW228" s="2"/>
      <c r="AX228" s="2"/>
      <c r="AY228" s="2"/>
      <c r="AZ228" s="2"/>
      <c r="BA228" s="2"/>
      <c r="BB228" s="2"/>
      <c r="BC228" s="2"/>
    </row>
    <row r="229" spans="1:55" s="1" customFormat="1" ht="20.25" customHeight="1" x14ac:dyDescent="0.25">
      <c r="A229" s="101" t="s">
        <v>55</v>
      </c>
      <c r="B229"/>
      <c r="C229"/>
      <c r="D229"/>
      <c r="E229"/>
      <c r="F229"/>
      <c r="G229"/>
      <c r="H229"/>
      <c r="I229"/>
      <c r="J229"/>
      <c r="K229"/>
      <c r="L229"/>
      <c r="M229"/>
      <c r="N229"/>
      <c r="O229"/>
      <c r="P229"/>
      <c r="Q229"/>
      <c r="R229" s="27" t="str">
        <f>$E$35</f>
        <v/>
      </c>
      <c r="S229" s="29">
        <f>$F$35</f>
        <v>0</v>
      </c>
      <c r="T229" s="40"/>
      <c r="U229" s="17"/>
      <c r="V229" s="17"/>
      <c r="W229" s="17"/>
      <c r="X229" s="17"/>
      <c r="Z229" s="2"/>
      <c r="AA229" s="2"/>
      <c r="AB229" s="2"/>
      <c r="AD229" s="2"/>
      <c r="AE229" s="2"/>
      <c r="AF229" s="2"/>
      <c r="AG229" s="2"/>
      <c r="AH229" s="2"/>
      <c r="AT229" s="5"/>
      <c r="AW229" s="2"/>
      <c r="AX229" s="2"/>
      <c r="AY229" s="2"/>
      <c r="AZ229" s="2"/>
      <c r="BA229" s="2"/>
      <c r="BB229" s="2"/>
      <c r="BC229" s="2"/>
    </row>
    <row r="230" spans="1:55" s="1" customFormat="1" ht="20.25" customHeight="1" x14ac:dyDescent="0.25">
      <c r="A230" s="101" t="s">
        <v>55</v>
      </c>
      <c r="B230"/>
      <c r="C230"/>
      <c r="D230"/>
      <c r="E230"/>
      <c r="F230"/>
      <c r="G230"/>
      <c r="H230"/>
      <c r="I230"/>
      <c r="J230"/>
      <c r="K230"/>
      <c r="L230"/>
      <c r="M230"/>
      <c r="N230"/>
      <c r="O230"/>
      <c r="P230"/>
      <c r="Q230"/>
      <c r="R230" s="27" t="str">
        <f>$H$60</f>
        <v/>
      </c>
      <c r="S230" s="29">
        <f>$I$60</f>
        <v>0</v>
      </c>
      <c r="T230" s="16"/>
      <c r="U230" s="17"/>
      <c r="V230" s="17"/>
      <c r="W230" s="17"/>
      <c r="X230" s="17"/>
      <c r="Z230" s="2"/>
      <c r="AA230" s="2"/>
      <c r="AB230" s="2"/>
      <c r="AD230" s="2"/>
      <c r="AE230" s="2"/>
      <c r="AF230" s="2"/>
      <c r="AG230" s="2"/>
      <c r="AH230" s="2"/>
      <c r="AT230" s="5"/>
      <c r="AW230" s="2"/>
      <c r="AX230" s="2"/>
      <c r="AY230" s="2"/>
      <c r="AZ230" s="2"/>
      <c r="BA230" s="2"/>
      <c r="BB230" s="2"/>
      <c r="BC230" s="2"/>
    </row>
    <row r="231" spans="1:55" s="1" customFormat="1" ht="20.25" customHeight="1" x14ac:dyDescent="0.25">
      <c r="A231" s="101" t="s">
        <v>55</v>
      </c>
      <c r="B231"/>
      <c r="C231"/>
      <c r="D231"/>
      <c r="E231"/>
      <c r="F231"/>
      <c r="G231"/>
      <c r="H231"/>
      <c r="I231"/>
      <c r="J231"/>
      <c r="K231"/>
      <c r="L231"/>
      <c r="M231"/>
      <c r="N231"/>
      <c r="O231"/>
      <c r="P231"/>
      <c r="Q231"/>
      <c r="R231" s="27" t="str">
        <f>$B$60</f>
        <v/>
      </c>
      <c r="S231" s="29">
        <f>$C$60</f>
        <v>0</v>
      </c>
      <c r="T231" s="40"/>
      <c r="U231" s="17"/>
      <c r="V231" s="17"/>
      <c r="W231" s="17"/>
      <c r="X231" s="17"/>
      <c r="Z231" s="2"/>
      <c r="AA231" s="2"/>
      <c r="AB231" s="2"/>
      <c r="AD231" s="2"/>
      <c r="AE231" s="2"/>
      <c r="AF231" s="2"/>
      <c r="AG231" s="2"/>
      <c r="AH231" s="2"/>
      <c r="AT231" s="5"/>
      <c r="AW231" s="2"/>
      <c r="AX231" s="2"/>
      <c r="AY231" s="2"/>
      <c r="AZ231" s="2"/>
      <c r="BA231" s="2"/>
      <c r="BB231" s="2"/>
      <c r="BC231" s="2"/>
    </row>
    <row r="232" spans="1:55" s="1" customFormat="1" ht="20.25" customHeight="1" x14ac:dyDescent="0.25">
      <c r="A232" s="101" t="s">
        <v>55</v>
      </c>
      <c r="B232"/>
      <c r="C232"/>
      <c r="D232"/>
      <c r="E232"/>
      <c r="F232"/>
      <c r="G232"/>
      <c r="H232"/>
      <c r="I232"/>
      <c r="J232"/>
      <c r="K232"/>
      <c r="L232"/>
      <c r="M232"/>
      <c r="N232"/>
      <c r="O232"/>
      <c r="P232"/>
      <c r="Q232"/>
      <c r="R232" s="27" t="str">
        <f>$H$35</f>
        <v/>
      </c>
      <c r="S232" s="29">
        <f>$I$35</f>
        <v>0</v>
      </c>
      <c r="T232" s="40"/>
      <c r="U232" s="17"/>
      <c r="V232" s="17"/>
      <c r="W232" s="17"/>
      <c r="X232" s="17"/>
      <c r="Z232" s="2"/>
      <c r="AA232" s="2"/>
      <c r="AB232" s="2"/>
      <c r="AD232" s="2"/>
      <c r="AE232" s="2"/>
      <c r="AF232" s="2"/>
      <c r="AG232" s="2"/>
      <c r="AH232" s="2"/>
      <c r="AT232" s="5"/>
      <c r="AW232" s="2"/>
      <c r="AX232" s="2"/>
      <c r="AY232" s="2"/>
      <c r="AZ232" s="2"/>
      <c r="BA232" s="2"/>
      <c r="BB232" s="2"/>
      <c r="BC232" s="2"/>
    </row>
    <row r="233" spans="1:55" s="1" customFormat="1" ht="20.25" customHeight="1" x14ac:dyDescent="0.25">
      <c r="A233" s="101" t="s">
        <v>55</v>
      </c>
      <c r="B233"/>
      <c r="C233"/>
      <c r="D233"/>
      <c r="E233"/>
      <c r="F233"/>
      <c r="G233"/>
      <c r="H233"/>
      <c r="I233"/>
      <c r="J233"/>
      <c r="K233"/>
      <c r="L233"/>
      <c r="M233"/>
      <c r="N233"/>
      <c r="O233"/>
      <c r="P233"/>
      <c r="Q233"/>
      <c r="R233" s="27" t="str">
        <f>$E$10</f>
        <v/>
      </c>
      <c r="S233" s="29">
        <f>$F$10</f>
        <v>0</v>
      </c>
      <c r="T233" s="16"/>
      <c r="U233" s="17"/>
      <c r="V233" s="17"/>
      <c r="W233" s="17"/>
      <c r="X233" s="17"/>
      <c r="Z233" s="2"/>
      <c r="AA233" s="2"/>
      <c r="AB233" s="2"/>
      <c r="AD233" s="2"/>
      <c r="AE233" s="2"/>
      <c r="AF233" s="2"/>
      <c r="AG233" s="2"/>
      <c r="AH233" s="2"/>
      <c r="AT233" s="5"/>
      <c r="AW233" s="2"/>
      <c r="AX233" s="2"/>
      <c r="AY233" s="2"/>
      <c r="AZ233" s="2"/>
      <c r="BA233" s="2"/>
      <c r="BB233" s="2"/>
      <c r="BC233" s="2"/>
    </row>
    <row r="234" spans="1:55" s="1" customFormat="1" ht="20.25" customHeight="1" x14ac:dyDescent="0.25">
      <c r="A234" s="101" t="s">
        <v>55</v>
      </c>
      <c r="B234"/>
      <c r="C234"/>
      <c r="D234"/>
      <c r="E234"/>
      <c r="F234"/>
      <c r="G234"/>
      <c r="H234"/>
      <c r="I234"/>
      <c r="J234"/>
      <c r="K234"/>
      <c r="L234"/>
      <c r="M234"/>
      <c r="N234"/>
      <c r="O234"/>
      <c r="P234"/>
      <c r="Q234"/>
      <c r="R234" s="27" t="str">
        <f>$K$35</f>
        <v/>
      </c>
      <c r="S234" s="29">
        <f>$L$35</f>
        <v>0</v>
      </c>
      <c r="T234" s="40"/>
      <c r="U234" s="17"/>
      <c r="V234" s="17"/>
      <c r="W234" s="17"/>
      <c r="X234" s="17"/>
      <c r="Z234" s="2"/>
      <c r="AA234" s="2"/>
      <c r="AB234" s="2"/>
      <c r="AD234" s="2"/>
      <c r="AE234" s="2"/>
      <c r="AF234" s="2"/>
      <c r="AG234" s="2"/>
      <c r="AH234" s="2"/>
      <c r="AT234" s="5"/>
      <c r="AW234" s="2"/>
      <c r="AX234" s="2"/>
      <c r="AY234" s="2"/>
      <c r="AZ234" s="2"/>
      <c r="BA234" s="2"/>
      <c r="BB234" s="2"/>
      <c r="BC234" s="2"/>
    </row>
    <row r="235" spans="1:55" s="1" customFormat="1" ht="20.25" customHeight="1" x14ac:dyDescent="0.25">
      <c r="A235" s="101" t="s">
        <v>55</v>
      </c>
      <c r="B235"/>
      <c r="C235"/>
      <c r="D235"/>
      <c r="E235"/>
      <c r="F235"/>
      <c r="G235"/>
      <c r="H235"/>
      <c r="I235"/>
      <c r="J235"/>
      <c r="K235"/>
      <c r="L235"/>
      <c r="M235"/>
      <c r="N235"/>
      <c r="O235"/>
      <c r="P235"/>
      <c r="Q235"/>
      <c r="R235" s="27" t="str">
        <f>$K$60</f>
        <v/>
      </c>
      <c r="S235" s="29">
        <f>$L$60</f>
        <v>0</v>
      </c>
      <c r="T235" s="40"/>
      <c r="U235" s="17"/>
      <c r="V235" s="17"/>
      <c r="W235" s="17"/>
      <c r="X235" s="17"/>
      <c r="Z235" s="2"/>
      <c r="AA235" s="2"/>
      <c r="AB235" s="2"/>
      <c r="AD235" s="2"/>
      <c r="AE235" s="2"/>
      <c r="AF235" s="2"/>
      <c r="AG235" s="2"/>
      <c r="AH235" s="2"/>
      <c r="AT235" s="5"/>
      <c r="AW235" s="2"/>
      <c r="AX235" s="2"/>
      <c r="AY235" s="2"/>
      <c r="AZ235" s="2"/>
      <c r="BA235" s="2"/>
      <c r="BB235" s="2"/>
      <c r="BC235" s="2"/>
    </row>
    <row r="236" spans="1:55" s="1" customFormat="1" ht="20.25" customHeight="1" x14ac:dyDescent="0.25">
      <c r="A236" s="101" t="s">
        <v>55</v>
      </c>
      <c r="B236"/>
      <c r="C236"/>
      <c r="D236"/>
      <c r="E236"/>
      <c r="F236"/>
      <c r="G236"/>
      <c r="H236"/>
      <c r="I236"/>
      <c r="J236"/>
      <c r="K236"/>
      <c r="L236"/>
      <c r="M236"/>
      <c r="N236"/>
      <c r="O236"/>
      <c r="P236"/>
      <c r="Q236"/>
      <c r="R236" s="27" t="str">
        <f>$H$10</f>
        <v/>
      </c>
      <c r="S236" s="29">
        <f>$I$10</f>
        <v>0</v>
      </c>
      <c r="T236" s="16"/>
      <c r="U236" s="17"/>
      <c r="V236" s="17"/>
      <c r="W236" s="17"/>
      <c r="X236" s="17"/>
      <c r="Z236" s="2"/>
      <c r="AA236" s="2"/>
      <c r="AB236" s="2"/>
      <c r="AD236" s="2"/>
      <c r="AE236" s="2"/>
      <c r="AF236" s="2"/>
      <c r="AG236" s="2"/>
      <c r="AH236" s="2"/>
      <c r="AT236" s="5"/>
      <c r="AW236" s="2"/>
      <c r="AX236" s="2"/>
      <c r="AY236" s="2"/>
      <c r="AZ236" s="2"/>
      <c r="BA236" s="2"/>
      <c r="BB236" s="2"/>
      <c r="BC236" s="2"/>
    </row>
    <row r="237" spans="1:55" s="1" customFormat="1" ht="20.25" customHeight="1" x14ac:dyDescent="0.25">
      <c r="A237" s="101" t="s">
        <v>55</v>
      </c>
      <c r="B237"/>
      <c r="C237"/>
      <c r="D237"/>
      <c r="E237"/>
      <c r="F237"/>
      <c r="G237"/>
      <c r="H237"/>
      <c r="I237"/>
      <c r="J237"/>
      <c r="K237"/>
      <c r="L237"/>
      <c r="M237"/>
      <c r="N237"/>
      <c r="O237"/>
      <c r="P237"/>
      <c r="Q237"/>
      <c r="R237" s="27" t="str">
        <f>$K$10</f>
        <v/>
      </c>
      <c r="S237" s="29">
        <f>$L$10</f>
        <v>0</v>
      </c>
      <c r="T237" s="40"/>
      <c r="U237" s="17"/>
      <c r="V237" s="17"/>
      <c r="W237" s="17"/>
      <c r="X237" s="17"/>
      <c r="Z237" s="2"/>
      <c r="AA237" s="2"/>
      <c r="AB237" s="2"/>
      <c r="AD237" s="2"/>
      <c r="AE237" s="2"/>
      <c r="AF237" s="2"/>
      <c r="AG237" s="2"/>
      <c r="AH237" s="2"/>
      <c r="AT237" s="5"/>
      <c r="AW237" s="2"/>
      <c r="AX237" s="2"/>
      <c r="AY237" s="2"/>
      <c r="AZ237" s="2"/>
      <c r="BA237" s="2"/>
      <c r="BB237" s="2"/>
      <c r="BC237" s="2"/>
    </row>
    <row r="238" spans="1:55" s="1" customFormat="1" ht="20.25" customHeight="1" x14ac:dyDescent="0.25">
      <c r="A238" s="101" t="s">
        <v>55</v>
      </c>
      <c r="B238"/>
      <c r="C238"/>
      <c r="D238"/>
      <c r="E238"/>
      <c r="F238"/>
      <c r="G238"/>
      <c r="H238"/>
      <c r="I238"/>
      <c r="J238"/>
      <c r="K238"/>
      <c r="L238"/>
      <c r="M238"/>
      <c r="N238"/>
      <c r="O238"/>
      <c r="P238"/>
      <c r="Q238"/>
      <c r="R238" s="27" t="str">
        <f>$B$35</f>
        <v/>
      </c>
      <c r="S238" s="29">
        <f>$C$35</f>
        <v>0</v>
      </c>
      <c r="T238" s="40"/>
      <c r="U238" s="17"/>
      <c r="V238" s="17"/>
      <c r="W238" s="17"/>
      <c r="X238" s="17"/>
      <c r="Z238" s="2"/>
      <c r="AA238" s="2"/>
      <c r="AB238" s="2"/>
      <c r="AD238" s="2"/>
      <c r="AE238" s="2"/>
      <c r="AF238" s="2"/>
      <c r="AG238" s="2"/>
      <c r="AH238" s="2"/>
      <c r="AT238" s="5"/>
      <c r="AW238" s="2"/>
      <c r="AX238" s="2"/>
      <c r="AY238" s="2"/>
      <c r="AZ238" s="2"/>
      <c r="BA238" s="2"/>
      <c r="BB238" s="2"/>
      <c r="BC238" s="2"/>
    </row>
    <row r="239" spans="1:55" s="1" customFormat="1" ht="20.25" customHeight="1" x14ac:dyDescent="0.25">
      <c r="A239" s="101" t="s">
        <v>55</v>
      </c>
      <c r="B239"/>
      <c r="C239"/>
      <c r="D239"/>
      <c r="E239"/>
      <c r="F239"/>
      <c r="G239"/>
      <c r="H239"/>
      <c r="I239"/>
      <c r="J239"/>
      <c r="K239"/>
      <c r="L239"/>
      <c r="M239"/>
      <c r="N239"/>
      <c r="O239"/>
      <c r="P239"/>
      <c r="Q239"/>
      <c r="R239" s="27" t="str">
        <f>$E$60</f>
        <v/>
      </c>
      <c r="S239" s="29">
        <f>$F$60</f>
        <v>0</v>
      </c>
      <c r="T239" s="16"/>
      <c r="U239" s="17"/>
      <c r="V239" s="17"/>
      <c r="W239" s="17"/>
      <c r="X239" s="17"/>
      <c r="Z239" s="2"/>
      <c r="AA239" s="2"/>
      <c r="AB239" s="2"/>
      <c r="AD239" s="2"/>
      <c r="AE239" s="2"/>
      <c r="AF239" s="2"/>
      <c r="AG239" s="2"/>
      <c r="AH239" s="2"/>
      <c r="AT239" s="5"/>
      <c r="AW239" s="2"/>
      <c r="AX239" s="2"/>
      <c r="AY239" s="2"/>
      <c r="AZ239" s="2"/>
      <c r="BA239" s="2"/>
      <c r="BB239" s="2"/>
      <c r="BC239" s="2"/>
    </row>
    <row r="240" spans="1:55" s="1" customFormat="1" ht="20.25" customHeight="1" x14ac:dyDescent="0.25">
      <c r="A240" s="101" t="s">
        <v>55</v>
      </c>
      <c r="B240"/>
      <c r="C240"/>
      <c r="D240"/>
      <c r="E240"/>
      <c r="F240"/>
      <c r="G240"/>
      <c r="H240"/>
      <c r="I240"/>
      <c r="J240"/>
      <c r="K240"/>
      <c r="L240"/>
      <c r="M240"/>
      <c r="N240"/>
      <c r="O240"/>
      <c r="P240"/>
      <c r="Q240"/>
      <c r="R240" s="27" t="str">
        <f>$B$11</f>
        <v/>
      </c>
      <c r="S240" s="29">
        <f>$C$11</f>
        <v>0</v>
      </c>
      <c r="T240" s="40"/>
      <c r="U240" s="17"/>
      <c r="V240" s="17"/>
      <c r="W240" s="17"/>
      <c r="X240" s="17"/>
      <c r="Z240" s="2"/>
      <c r="AA240" s="2"/>
      <c r="AB240" s="2"/>
      <c r="AD240" s="2"/>
      <c r="AE240" s="2"/>
      <c r="AF240" s="2"/>
      <c r="AG240" s="2"/>
      <c r="AH240" s="2"/>
      <c r="AT240" s="5"/>
      <c r="AW240" s="2"/>
      <c r="AX240" s="2"/>
      <c r="AY240" s="2"/>
      <c r="AZ240" s="2"/>
      <c r="BA240" s="2"/>
      <c r="BB240" s="2"/>
      <c r="BC240" s="2"/>
    </row>
    <row r="241" spans="1:55" s="1" customFormat="1" ht="20.25" customHeight="1" x14ac:dyDescent="0.25">
      <c r="A241" s="101" t="s">
        <v>55</v>
      </c>
      <c r="B241"/>
      <c r="C241"/>
      <c r="D241"/>
      <c r="E241"/>
      <c r="F241"/>
      <c r="G241"/>
      <c r="H241"/>
      <c r="I241"/>
      <c r="J241"/>
      <c r="K241"/>
      <c r="L241"/>
      <c r="M241"/>
      <c r="N241"/>
      <c r="O241"/>
      <c r="P241"/>
      <c r="Q241"/>
      <c r="R241" s="27" t="str">
        <f>$H$61</f>
        <v/>
      </c>
      <c r="S241" s="29">
        <f>$I$61</f>
        <v>0</v>
      </c>
      <c r="T241" s="40"/>
      <c r="U241" s="17"/>
      <c r="V241" s="17"/>
      <c r="W241" s="17"/>
      <c r="X241" s="17"/>
      <c r="Z241" s="2"/>
      <c r="AA241" s="2"/>
      <c r="AB241" s="2"/>
      <c r="AD241" s="2"/>
      <c r="AE241" s="2"/>
      <c r="AF241" s="2"/>
      <c r="AG241" s="2"/>
      <c r="AH241" s="2"/>
      <c r="AT241" s="5"/>
      <c r="AW241" s="2"/>
      <c r="AX241" s="2"/>
      <c r="AY241" s="2"/>
      <c r="AZ241" s="2"/>
      <c r="BA241" s="2"/>
      <c r="BB241" s="2"/>
      <c r="BC241" s="2"/>
    </row>
    <row r="242" spans="1:55" s="1" customFormat="1" ht="20.25" customHeight="1" x14ac:dyDescent="0.25">
      <c r="A242" s="101" t="s">
        <v>55</v>
      </c>
      <c r="B242"/>
      <c r="C242"/>
      <c r="D242"/>
      <c r="E242"/>
      <c r="F242"/>
      <c r="G242"/>
      <c r="H242"/>
      <c r="I242"/>
      <c r="J242"/>
      <c r="K242"/>
      <c r="L242"/>
      <c r="M242"/>
      <c r="N242"/>
      <c r="O242"/>
      <c r="P242"/>
      <c r="Q242"/>
      <c r="R242" s="27" t="str">
        <f>$E$36</f>
        <v/>
      </c>
      <c r="S242" s="29">
        <f>$F$36</f>
        <v>0</v>
      </c>
      <c r="T242" s="16"/>
      <c r="U242" s="17"/>
      <c r="V242" s="17"/>
      <c r="W242" s="17"/>
      <c r="X242" s="17"/>
      <c r="Z242" s="2"/>
      <c r="AA242" s="2"/>
      <c r="AB242" s="2"/>
      <c r="AD242" s="2"/>
      <c r="AE242" s="2"/>
      <c r="AF242" s="2"/>
      <c r="AG242" s="2"/>
      <c r="AH242" s="2"/>
      <c r="AT242" s="5"/>
      <c r="AW242" s="2"/>
      <c r="AX242" s="2"/>
      <c r="AY242" s="2"/>
      <c r="AZ242" s="2"/>
      <c r="BA242" s="2"/>
      <c r="BB242" s="2"/>
      <c r="BC242" s="2"/>
    </row>
    <row r="243" spans="1:55" s="1" customFormat="1" ht="20.25" customHeight="1" x14ac:dyDescent="0.25">
      <c r="A243" s="101" t="s">
        <v>55</v>
      </c>
      <c r="B243"/>
      <c r="C243"/>
      <c r="D243"/>
      <c r="E243"/>
      <c r="F243"/>
      <c r="G243"/>
      <c r="H243"/>
      <c r="I243"/>
      <c r="J243"/>
      <c r="K243"/>
      <c r="L243"/>
      <c r="M243"/>
      <c r="N243"/>
      <c r="O243"/>
      <c r="P243"/>
      <c r="Q243"/>
      <c r="R243" s="27" t="str">
        <f>$E$11</f>
        <v/>
      </c>
      <c r="S243" s="29">
        <f>$F$11</f>
        <v>0</v>
      </c>
      <c r="T243" s="40"/>
      <c r="U243" s="17"/>
      <c r="V243" s="17"/>
      <c r="W243" s="17"/>
      <c r="X243" s="17"/>
      <c r="Z243" s="2"/>
      <c r="AA243" s="2"/>
      <c r="AB243" s="2"/>
      <c r="AD243" s="2"/>
      <c r="AE243" s="2"/>
      <c r="AF243" s="2"/>
      <c r="AG243" s="2"/>
      <c r="AH243" s="2"/>
      <c r="AT243" s="5"/>
      <c r="AW243" s="2"/>
      <c r="AX243" s="2"/>
      <c r="AY243" s="2"/>
      <c r="AZ243" s="2"/>
      <c r="BA243" s="2"/>
      <c r="BB243" s="2"/>
      <c r="BC243" s="2"/>
    </row>
    <row r="244" spans="1:55" s="1" customFormat="1" ht="20.25" customHeight="1" x14ac:dyDescent="0.25">
      <c r="A244" s="101" t="s">
        <v>55</v>
      </c>
      <c r="B244"/>
      <c r="C244"/>
      <c r="D244"/>
      <c r="E244"/>
      <c r="F244"/>
      <c r="G244"/>
      <c r="H244"/>
      <c r="I244"/>
      <c r="J244"/>
      <c r="K244"/>
      <c r="L244"/>
      <c r="M244"/>
      <c r="N244"/>
      <c r="O244"/>
      <c r="P244"/>
      <c r="Q244"/>
      <c r="R244" s="27" t="str">
        <f>$B$61</f>
        <v/>
      </c>
      <c r="S244" s="29">
        <f>$C$61</f>
        <v>0</v>
      </c>
      <c r="T244" s="40"/>
      <c r="U244" s="17"/>
      <c r="V244" s="17"/>
      <c r="W244" s="17"/>
      <c r="X244" s="17"/>
      <c r="Z244" s="2"/>
      <c r="AA244" s="2"/>
      <c r="AB244" s="2"/>
      <c r="AD244" s="2"/>
      <c r="AE244" s="2"/>
      <c r="AF244" s="2"/>
      <c r="AG244" s="2"/>
      <c r="AH244" s="2"/>
      <c r="AT244" s="5"/>
      <c r="AW244" s="2"/>
      <c r="AX244" s="2"/>
      <c r="AY244" s="2"/>
      <c r="AZ244" s="2"/>
      <c r="BA244" s="2"/>
      <c r="BB244" s="2"/>
      <c r="BC244" s="2"/>
    </row>
    <row r="245" spans="1:55" s="1" customFormat="1" ht="20.25" customHeight="1" x14ac:dyDescent="0.25">
      <c r="A245" s="101" t="s">
        <v>55</v>
      </c>
      <c r="B245"/>
      <c r="C245"/>
      <c r="D245"/>
      <c r="E245"/>
      <c r="F245"/>
      <c r="G245"/>
      <c r="H245"/>
      <c r="I245"/>
      <c r="J245"/>
      <c r="K245"/>
      <c r="L245"/>
      <c r="M245"/>
      <c r="N245"/>
      <c r="O245"/>
      <c r="P245"/>
      <c r="Q245"/>
      <c r="R245" s="32" t="str">
        <f>$H$36</f>
        <v/>
      </c>
      <c r="S245" s="31">
        <f>$I$36</f>
        <v>0</v>
      </c>
      <c r="T245" s="16"/>
      <c r="U245" s="17"/>
      <c r="V245" s="17"/>
      <c r="W245" s="17"/>
      <c r="X245" s="17"/>
      <c r="Z245" s="2"/>
      <c r="AA245" s="2"/>
      <c r="AB245" s="2"/>
      <c r="AD245" s="2"/>
      <c r="AE245" s="2"/>
      <c r="AF245" s="2"/>
      <c r="AG245" s="2"/>
      <c r="AH245" s="2"/>
      <c r="AT245" s="5"/>
      <c r="AW245" s="2"/>
      <c r="AX245" s="2"/>
      <c r="AY245" s="2"/>
      <c r="AZ245" s="2"/>
      <c r="BA245" s="2"/>
      <c r="BB245" s="2"/>
      <c r="BC245" s="2"/>
    </row>
    <row r="246" spans="1:55" s="1" customFormat="1" ht="20.25" customHeight="1" x14ac:dyDescent="0.25">
      <c r="A246" s="101" t="s">
        <v>55</v>
      </c>
      <c r="N246" s="77"/>
      <c r="O246" s="3"/>
      <c r="Q246" s="41"/>
      <c r="R246" s="41"/>
      <c r="S246" s="41"/>
      <c r="T246" s="40"/>
      <c r="U246" s="17"/>
      <c r="V246" s="17"/>
      <c r="W246" s="17"/>
      <c r="X246" s="17"/>
      <c r="Z246" s="2"/>
      <c r="AA246" s="2"/>
      <c r="AB246" s="2"/>
      <c r="AD246" s="2"/>
      <c r="AE246" s="2"/>
      <c r="AF246" s="2"/>
      <c r="AG246" s="2"/>
      <c r="AH246" s="2"/>
      <c r="AT246" s="5"/>
      <c r="AW246" s="2"/>
      <c r="AX246" s="2"/>
      <c r="AY246" s="2"/>
      <c r="AZ246" s="2"/>
      <c r="BA246" s="2"/>
      <c r="BB246" s="2"/>
      <c r="BC246" s="2"/>
    </row>
    <row r="247" spans="1:55" s="1" customFormat="1" ht="20.25" customHeight="1" x14ac:dyDescent="0.25">
      <c r="A247" s="101" t="s">
        <v>55</v>
      </c>
      <c r="N247" s="77"/>
      <c r="O247" s="3"/>
      <c r="Q247" s="41"/>
      <c r="R247" s="41"/>
      <c r="S247" s="41"/>
      <c r="T247" s="40"/>
      <c r="U247" s="17"/>
      <c r="V247" s="17"/>
      <c r="W247" s="17"/>
      <c r="X247" s="17"/>
      <c r="Z247" s="2"/>
      <c r="AA247" s="2"/>
      <c r="AB247" s="2"/>
      <c r="AD247" s="2"/>
      <c r="AE247" s="2"/>
      <c r="AF247" s="2"/>
      <c r="AG247" s="2"/>
      <c r="AH247" s="2"/>
      <c r="AT247" s="5"/>
      <c r="AW247" s="2"/>
      <c r="AX247" s="2"/>
      <c r="AY247" s="2"/>
      <c r="AZ247" s="2"/>
      <c r="BA247" s="2"/>
      <c r="BB247" s="2"/>
      <c r="BC247" s="2"/>
    </row>
    <row r="248" spans="1:55" s="1" customFormat="1" ht="20.25" customHeight="1" x14ac:dyDescent="0.25">
      <c r="A248" s="101" t="s">
        <v>55</v>
      </c>
      <c r="N248" s="77"/>
      <c r="O248" s="3"/>
      <c r="Q248" s="41"/>
      <c r="R248" s="41"/>
      <c r="S248" s="41"/>
      <c r="T248" s="16"/>
      <c r="U248" s="17"/>
      <c r="V248" s="17"/>
      <c r="W248" s="17"/>
      <c r="X248" s="17"/>
      <c r="Z248" s="2"/>
      <c r="AA248" s="2"/>
      <c r="AB248" s="2"/>
      <c r="AD248" s="2"/>
      <c r="AE248" s="2"/>
      <c r="AF248" s="2"/>
      <c r="AG248" s="2"/>
      <c r="AH248" s="2"/>
      <c r="AT248" s="5"/>
      <c r="AW248" s="2"/>
      <c r="AX248" s="2"/>
      <c r="AY248" s="2"/>
      <c r="AZ248" s="2"/>
      <c r="BA248" s="2"/>
      <c r="BB248" s="2"/>
      <c r="BC248" s="2"/>
    </row>
    <row r="249" spans="1:55" s="1" customFormat="1" ht="20.25" customHeight="1" x14ac:dyDescent="0.25">
      <c r="A249" s="101" t="s">
        <v>55</v>
      </c>
      <c r="N249" s="77"/>
      <c r="O249" s="3"/>
      <c r="Q249" s="41"/>
      <c r="R249" s="41"/>
      <c r="S249" s="41"/>
      <c r="T249" s="40"/>
      <c r="U249" s="17"/>
      <c r="V249" s="17"/>
      <c r="W249" s="17"/>
      <c r="X249" s="17"/>
      <c r="Z249" s="2"/>
      <c r="AA249" s="2"/>
      <c r="AB249" s="2"/>
      <c r="AD249" s="2"/>
      <c r="AE249" s="2"/>
      <c r="AF249" s="2"/>
      <c r="AG249" s="2"/>
      <c r="AH249" s="2"/>
      <c r="AT249" s="5"/>
      <c r="AW249" s="2"/>
      <c r="AX249" s="2"/>
      <c r="AY249" s="2"/>
      <c r="AZ249" s="2"/>
      <c r="BA249" s="2"/>
      <c r="BB249" s="2"/>
      <c r="BC249" s="2"/>
    </row>
    <row r="250" spans="1:55" s="1" customFormat="1" ht="20.25" customHeight="1" x14ac:dyDescent="0.25">
      <c r="A250" s="101" t="s">
        <v>55</v>
      </c>
      <c r="N250" s="77"/>
      <c r="O250" s="3"/>
      <c r="Q250" s="41"/>
      <c r="R250" s="41"/>
      <c r="S250" s="41"/>
      <c r="T250" s="40"/>
      <c r="U250" s="17"/>
      <c r="V250" s="17"/>
      <c r="W250" s="17"/>
      <c r="X250" s="17"/>
      <c r="Z250" s="2"/>
      <c r="AA250" s="2"/>
      <c r="AB250" s="2"/>
      <c r="AD250" s="2"/>
      <c r="AE250" s="2"/>
      <c r="AF250" s="2"/>
      <c r="AG250" s="2"/>
      <c r="AH250" s="2"/>
      <c r="AT250" s="5"/>
      <c r="AW250" s="2"/>
      <c r="AX250" s="2"/>
      <c r="AY250" s="2"/>
      <c r="AZ250" s="2"/>
      <c r="BA250" s="2"/>
      <c r="BB250" s="2"/>
      <c r="BC250" s="2"/>
    </row>
    <row r="251" spans="1:55" s="1" customFormat="1" ht="20.25" customHeight="1" x14ac:dyDescent="0.25">
      <c r="A251" s="101" t="s">
        <v>55</v>
      </c>
      <c r="N251" s="77"/>
      <c r="O251" s="3"/>
      <c r="Q251" s="41"/>
      <c r="R251" s="41"/>
      <c r="S251" s="41"/>
      <c r="T251" s="16"/>
      <c r="U251" s="17"/>
      <c r="V251" s="17"/>
      <c r="W251" s="17"/>
      <c r="X251" s="17"/>
      <c r="Z251" s="2"/>
      <c r="AA251" s="2"/>
      <c r="AB251" s="2"/>
      <c r="AD251" s="2"/>
      <c r="AE251" s="2"/>
      <c r="AF251" s="2"/>
      <c r="AG251" s="2"/>
      <c r="AH251" s="2"/>
      <c r="AT251" s="5"/>
      <c r="AW251" s="2"/>
      <c r="AX251" s="2"/>
      <c r="AY251" s="2"/>
      <c r="AZ251" s="2"/>
      <c r="BA251" s="2"/>
      <c r="BB251" s="2"/>
      <c r="BC251" s="2"/>
    </row>
    <row r="252" spans="1:55" s="1" customFormat="1" ht="20.25" customHeight="1" x14ac:dyDescent="0.25">
      <c r="A252" s="101" t="s">
        <v>55</v>
      </c>
      <c r="N252" s="77"/>
      <c r="O252" s="3"/>
      <c r="Q252" s="41"/>
      <c r="R252" s="41"/>
      <c r="S252" s="41"/>
      <c r="T252" s="40"/>
      <c r="U252" s="17"/>
      <c r="V252" s="17"/>
      <c r="W252" s="17"/>
      <c r="X252" s="17"/>
      <c r="Z252" s="2"/>
      <c r="AA252" s="2"/>
      <c r="AB252" s="2"/>
      <c r="AD252" s="2"/>
      <c r="AE252" s="2"/>
      <c r="AF252" s="2"/>
      <c r="AG252" s="2"/>
      <c r="AH252" s="2"/>
      <c r="AT252" s="5"/>
      <c r="AW252" s="2"/>
      <c r="AX252" s="2"/>
      <c r="AY252" s="2"/>
      <c r="AZ252" s="2"/>
      <c r="BA252" s="2"/>
      <c r="BB252" s="2"/>
      <c r="BC252" s="2"/>
    </row>
    <row r="253" spans="1:55" s="1" customFormat="1" ht="20.25" customHeight="1" x14ac:dyDescent="0.25">
      <c r="A253" s="101" t="s">
        <v>55</v>
      </c>
      <c r="N253" s="77"/>
      <c r="O253" s="3"/>
      <c r="Q253" s="41"/>
      <c r="R253" s="41"/>
      <c r="S253" s="41"/>
      <c r="T253" s="40"/>
      <c r="U253" s="17"/>
      <c r="V253" s="17"/>
      <c r="W253" s="17"/>
      <c r="X253" s="17"/>
      <c r="Z253" s="2"/>
      <c r="AA253" s="2"/>
      <c r="AB253" s="2"/>
      <c r="AD253" s="2"/>
      <c r="AE253" s="2"/>
      <c r="AF253" s="2"/>
      <c r="AG253" s="2"/>
      <c r="AH253" s="2"/>
      <c r="AT253" s="5"/>
      <c r="AW253" s="2"/>
      <c r="AX253" s="2"/>
      <c r="AY253" s="2"/>
      <c r="AZ253" s="2"/>
      <c r="BA253" s="2"/>
      <c r="BB253" s="2"/>
      <c r="BC253" s="2"/>
    </row>
    <row r="254" spans="1:55" s="1" customFormat="1" ht="20.25" customHeight="1" x14ac:dyDescent="0.25">
      <c r="A254" s="101" t="s">
        <v>55</v>
      </c>
      <c r="N254" s="77"/>
      <c r="O254" s="3"/>
      <c r="Q254" s="41"/>
      <c r="R254" s="41"/>
      <c r="S254" s="41"/>
      <c r="T254" s="16"/>
      <c r="U254" s="17"/>
      <c r="V254" s="17"/>
      <c r="W254" s="17"/>
      <c r="X254" s="17"/>
      <c r="Z254" s="2"/>
      <c r="AA254" s="2"/>
      <c r="AB254" s="2"/>
      <c r="AD254" s="2"/>
      <c r="AE254" s="2"/>
      <c r="AF254" s="2"/>
      <c r="AG254" s="2"/>
      <c r="AH254" s="2"/>
      <c r="AT254" s="5"/>
      <c r="AW254" s="2"/>
      <c r="AX254" s="2"/>
      <c r="AY254" s="2"/>
      <c r="AZ254" s="2"/>
      <c r="BA254" s="2"/>
      <c r="BB254" s="2"/>
      <c r="BC254" s="2"/>
    </row>
    <row r="255" spans="1:55" s="1" customFormat="1" ht="20.25" customHeight="1" x14ac:dyDescent="0.25">
      <c r="A255" s="101" t="s">
        <v>55</v>
      </c>
      <c r="N255" s="77"/>
      <c r="O255" s="3"/>
      <c r="Q255" s="41"/>
      <c r="R255" s="41"/>
      <c r="S255" s="41"/>
      <c r="T255" s="40"/>
      <c r="U255" s="17"/>
      <c r="V255" s="17"/>
      <c r="W255" s="17"/>
      <c r="X255" s="17"/>
      <c r="Z255" s="2"/>
      <c r="AA255" s="2"/>
      <c r="AB255" s="2"/>
      <c r="AD255" s="2"/>
      <c r="AE255" s="2"/>
      <c r="AF255" s="2"/>
      <c r="AG255" s="2"/>
      <c r="AH255" s="2"/>
      <c r="AT255" s="5"/>
      <c r="AW255" s="2"/>
      <c r="AX255" s="2"/>
      <c r="AY255" s="2"/>
      <c r="AZ255" s="2"/>
      <c r="BA255" s="2"/>
      <c r="BB255" s="2"/>
      <c r="BC255" s="2"/>
    </row>
    <row r="256" spans="1:55" s="1" customFormat="1" ht="20.25" customHeight="1" x14ac:dyDescent="0.25">
      <c r="A256" s="101" t="s">
        <v>55</v>
      </c>
      <c r="N256" s="77"/>
      <c r="O256" s="3"/>
      <c r="Q256" s="41"/>
      <c r="R256" s="41"/>
      <c r="S256" s="41"/>
      <c r="T256" s="40"/>
      <c r="U256" s="17"/>
      <c r="V256" s="17"/>
      <c r="W256" s="17"/>
      <c r="X256" s="17"/>
      <c r="Z256" s="2"/>
      <c r="AA256" s="2"/>
      <c r="AB256" s="2"/>
      <c r="AD256" s="2"/>
      <c r="AE256" s="2"/>
      <c r="AF256" s="2"/>
      <c r="AG256" s="2"/>
      <c r="AH256" s="2"/>
      <c r="AT256" s="5"/>
      <c r="AW256" s="2"/>
      <c r="AX256" s="2"/>
      <c r="AY256" s="2"/>
      <c r="AZ256" s="2"/>
      <c r="BA256" s="2"/>
      <c r="BB256" s="2"/>
      <c r="BC256" s="2"/>
    </row>
    <row r="257" spans="1:55" s="1" customFormat="1" ht="20.25" customHeight="1" x14ac:dyDescent="0.25">
      <c r="A257" s="101" t="s">
        <v>55</v>
      </c>
      <c r="N257" s="77"/>
      <c r="O257" s="3"/>
      <c r="Q257" s="41"/>
      <c r="R257" s="41"/>
      <c r="S257" s="41"/>
      <c r="T257" s="16"/>
      <c r="U257" s="17"/>
      <c r="V257" s="17"/>
      <c r="W257" s="17"/>
      <c r="X257" s="17"/>
      <c r="Z257" s="2"/>
      <c r="AA257" s="2"/>
      <c r="AB257" s="2"/>
      <c r="AD257" s="2"/>
      <c r="AE257" s="2"/>
      <c r="AF257" s="2"/>
      <c r="AG257" s="2"/>
      <c r="AH257" s="2"/>
      <c r="AT257" s="5"/>
      <c r="AW257" s="2"/>
      <c r="AX257" s="2"/>
      <c r="AY257" s="2"/>
      <c r="AZ257" s="2"/>
      <c r="BA257" s="2"/>
      <c r="BB257" s="2"/>
      <c r="BC257" s="2"/>
    </row>
    <row r="258" spans="1:55" s="1" customFormat="1" ht="20.25" customHeight="1" x14ac:dyDescent="0.25">
      <c r="A258" s="101" t="s">
        <v>55</v>
      </c>
      <c r="N258" s="77"/>
      <c r="O258" s="3"/>
      <c r="Q258" s="41"/>
      <c r="R258" s="41"/>
      <c r="S258" s="41"/>
      <c r="T258" s="40"/>
      <c r="U258" s="17"/>
      <c r="V258" s="17"/>
      <c r="W258" s="17"/>
      <c r="X258" s="17"/>
      <c r="Z258" s="2"/>
      <c r="AA258" s="2"/>
      <c r="AB258" s="2"/>
      <c r="AD258" s="2"/>
      <c r="AE258" s="2"/>
      <c r="AF258" s="2"/>
      <c r="AG258" s="2"/>
      <c r="AH258" s="2"/>
      <c r="AT258" s="5"/>
      <c r="AW258" s="2"/>
      <c r="AX258" s="2"/>
      <c r="AY258" s="2"/>
      <c r="AZ258" s="2"/>
      <c r="BA258" s="2"/>
      <c r="BB258" s="2"/>
      <c r="BC258" s="2"/>
    </row>
    <row r="259" spans="1:55" s="1" customFormat="1" ht="20.25" customHeight="1" x14ac:dyDescent="0.25">
      <c r="A259" s="101" t="s">
        <v>55</v>
      </c>
      <c r="N259" s="77"/>
      <c r="O259" s="3"/>
      <c r="Q259" s="41"/>
      <c r="R259" s="41"/>
      <c r="S259" s="41"/>
      <c r="T259" s="40"/>
      <c r="U259" s="17"/>
      <c r="V259" s="17"/>
      <c r="W259" s="17"/>
      <c r="X259" s="17"/>
      <c r="Z259" s="2"/>
      <c r="AA259" s="2"/>
      <c r="AB259" s="2"/>
      <c r="AD259" s="2"/>
      <c r="AE259" s="2"/>
      <c r="AF259" s="2"/>
      <c r="AG259" s="2"/>
      <c r="AH259" s="2"/>
      <c r="AT259" s="5"/>
      <c r="AW259" s="2"/>
      <c r="AX259" s="2"/>
      <c r="AY259" s="2"/>
      <c r="AZ259" s="2"/>
      <c r="BA259" s="2"/>
      <c r="BB259" s="2"/>
      <c r="BC259" s="2"/>
    </row>
    <row r="260" spans="1:55" s="1" customFormat="1" ht="20.25" customHeight="1" x14ac:dyDescent="0.25">
      <c r="A260" s="101" t="s">
        <v>55</v>
      </c>
      <c r="N260" s="77"/>
      <c r="O260" s="3"/>
      <c r="Q260" s="41"/>
      <c r="R260" s="41"/>
      <c r="S260" s="41"/>
      <c r="T260" s="16"/>
      <c r="U260" s="17"/>
      <c r="V260" s="17"/>
      <c r="W260" s="17"/>
      <c r="X260" s="17"/>
      <c r="Z260" s="2"/>
      <c r="AA260" s="2"/>
      <c r="AB260" s="2"/>
      <c r="AD260" s="2"/>
      <c r="AE260" s="2"/>
      <c r="AF260" s="2"/>
      <c r="AG260" s="2"/>
      <c r="AH260" s="2"/>
      <c r="AT260" s="5"/>
      <c r="AW260" s="2"/>
      <c r="AX260" s="2"/>
      <c r="AY260" s="2"/>
      <c r="AZ260" s="2"/>
      <c r="BA260" s="2"/>
      <c r="BB260" s="2"/>
      <c r="BC260" s="2"/>
    </row>
    <row r="261" spans="1:55" s="1" customFormat="1" ht="20.25" customHeight="1" x14ac:dyDescent="0.25">
      <c r="A261" s="101" t="s">
        <v>55</v>
      </c>
      <c r="N261" s="77"/>
      <c r="O261" s="3"/>
      <c r="Q261" s="41"/>
      <c r="R261" s="41"/>
      <c r="S261" s="41"/>
      <c r="T261" s="40"/>
      <c r="U261" s="17"/>
      <c r="V261" s="17"/>
      <c r="W261" s="17"/>
      <c r="X261" s="17"/>
      <c r="Z261" s="2"/>
      <c r="AA261" s="2"/>
      <c r="AB261" s="2"/>
      <c r="AD261" s="2"/>
      <c r="AE261" s="2"/>
      <c r="AF261" s="2"/>
      <c r="AG261" s="2"/>
      <c r="AH261" s="2"/>
      <c r="AT261" s="5"/>
      <c r="AW261" s="2"/>
      <c r="AX261" s="2"/>
      <c r="AY261" s="2"/>
      <c r="AZ261" s="2"/>
      <c r="BA261" s="2"/>
      <c r="BB261" s="2"/>
      <c r="BC261" s="2"/>
    </row>
    <row r="262" spans="1:55" s="1" customFormat="1" ht="20.25" customHeight="1" x14ac:dyDescent="0.25">
      <c r="A262" s="101" t="s">
        <v>55</v>
      </c>
      <c r="N262" s="77"/>
      <c r="O262" s="3"/>
      <c r="Q262" s="41"/>
      <c r="R262" s="41"/>
      <c r="S262" s="41"/>
      <c r="T262" s="40"/>
      <c r="U262" s="17"/>
      <c r="V262" s="17"/>
      <c r="W262" s="17"/>
      <c r="X262" s="17"/>
      <c r="Z262" s="2"/>
      <c r="AA262" s="2"/>
      <c r="AB262" s="2"/>
      <c r="AD262" s="2"/>
      <c r="AE262" s="2"/>
      <c r="AF262" s="2"/>
      <c r="AG262" s="2"/>
      <c r="AH262" s="2"/>
      <c r="AT262" s="5"/>
      <c r="AW262" s="2"/>
      <c r="AX262" s="2"/>
      <c r="AY262" s="2"/>
      <c r="AZ262" s="2"/>
      <c r="BA262" s="2"/>
      <c r="BB262" s="2"/>
      <c r="BC262" s="2"/>
    </row>
    <row r="263" spans="1:55" s="1" customFormat="1" ht="20.25" customHeight="1" x14ac:dyDescent="0.25">
      <c r="A263" s="101" t="s">
        <v>55</v>
      </c>
      <c r="N263" s="77"/>
      <c r="O263" s="3"/>
      <c r="Q263" s="41"/>
      <c r="R263" s="41"/>
      <c r="S263" s="41"/>
      <c r="T263" s="16"/>
      <c r="U263" s="17"/>
      <c r="V263" s="17"/>
      <c r="W263" s="17"/>
      <c r="X263" s="17"/>
      <c r="Z263" s="2"/>
      <c r="AA263" s="2"/>
      <c r="AB263" s="2"/>
      <c r="AD263" s="2"/>
      <c r="AE263" s="2"/>
      <c r="AF263" s="2"/>
      <c r="AG263" s="2"/>
      <c r="AH263" s="2"/>
      <c r="AT263" s="5"/>
      <c r="AW263" s="2"/>
      <c r="AX263" s="2"/>
      <c r="AY263" s="2"/>
      <c r="AZ263" s="2"/>
      <c r="BA263" s="2"/>
      <c r="BB263" s="2"/>
      <c r="BC263" s="2"/>
    </row>
    <row r="264" spans="1:55" s="1" customFormat="1" ht="20.25" customHeight="1" x14ac:dyDescent="0.25">
      <c r="A264" s="101" t="s">
        <v>55</v>
      </c>
      <c r="N264" s="77"/>
      <c r="O264" s="3"/>
      <c r="Q264" s="41"/>
      <c r="R264" s="41"/>
      <c r="S264" s="41"/>
      <c r="T264" s="40"/>
      <c r="U264" s="17"/>
      <c r="V264" s="17"/>
      <c r="W264" s="17"/>
      <c r="X264" s="17"/>
      <c r="Z264" s="2"/>
      <c r="AA264" s="2"/>
      <c r="AB264" s="2"/>
      <c r="AD264" s="2"/>
      <c r="AE264" s="2"/>
      <c r="AF264" s="2"/>
      <c r="AG264" s="2"/>
      <c r="AH264" s="2"/>
      <c r="AT264" s="5"/>
      <c r="AW264" s="2"/>
      <c r="AX264" s="2"/>
      <c r="AY264" s="2"/>
      <c r="AZ264" s="2"/>
      <c r="BA264" s="2"/>
      <c r="BB264" s="2"/>
      <c r="BC264" s="2"/>
    </row>
    <row r="265" spans="1:55" s="1" customFormat="1" ht="20.25" customHeight="1" x14ac:dyDescent="0.25">
      <c r="A265" s="101" t="s">
        <v>55</v>
      </c>
      <c r="N265" s="77"/>
      <c r="O265" s="3"/>
      <c r="Q265" s="41"/>
      <c r="R265" s="41"/>
      <c r="S265" s="41"/>
      <c r="T265" s="40"/>
      <c r="U265" s="17"/>
      <c r="V265" s="17"/>
      <c r="W265" s="17"/>
      <c r="X265" s="17"/>
      <c r="Z265" s="2"/>
      <c r="AA265" s="2"/>
      <c r="AB265" s="2"/>
      <c r="AD265" s="2"/>
      <c r="AE265" s="2"/>
      <c r="AF265" s="2"/>
      <c r="AG265" s="2"/>
      <c r="AH265" s="2"/>
      <c r="AT265" s="5"/>
      <c r="AW265" s="2"/>
      <c r="AX265" s="2"/>
      <c r="AY265" s="2"/>
      <c r="AZ265" s="2"/>
      <c r="BA265" s="2"/>
      <c r="BB265" s="2"/>
      <c r="BC265" s="2"/>
    </row>
    <row r="266" spans="1:55" s="1" customFormat="1" ht="20.25" customHeight="1" x14ac:dyDescent="0.25">
      <c r="A266" s="101" t="s">
        <v>55</v>
      </c>
      <c r="N266" s="77"/>
      <c r="O266" s="3"/>
      <c r="Q266" s="41"/>
      <c r="R266" s="41"/>
      <c r="S266" s="41"/>
      <c r="T266" s="16"/>
      <c r="U266" s="17"/>
      <c r="V266" s="17"/>
      <c r="W266" s="17"/>
      <c r="X266" s="17"/>
      <c r="Z266" s="2"/>
      <c r="AA266" s="2"/>
      <c r="AB266" s="2"/>
      <c r="AD266" s="2"/>
      <c r="AE266" s="2"/>
      <c r="AF266" s="2"/>
      <c r="AG266" s="2"/>
      <c r="AH266" s="2"/>
      <c r="AT266" s="5"/>
      <c r="AW266" s="2"/>
      <c r="AX266" s="2"/>
      <c r="AY266" s="2"/>
      <c r="AZ266" s="2"/>
      <c r="BA266" s="2"/>
      <c r="BB266" s="2"/>
      <c r="BC266" s="2"/>
    </row>
    <row r="267" spans="1:55" s="1" customFormat="1" ht="20.25" customHeight="1" x14ac:dyDescent="0.25">
      <c r="A267" s="101" t="s">
        <v>55</v>
      </c>
      <c r="N267" s="77"/>
      <c r="O267" s="3"/>
      <c r="Q267" s="41"/>
      <c r="R267" s="41"/>
      <c r="S267" s="41"/>
      <c r="T267" s="40"/>
      <c r="U267" s="17"/>
      <c r="V267" s="17"/>
      <c r="W267" s="17"/>
      <c r="X267" s="17"/>
      <c r="Z267" s="2"/>
      <c r="AA267" s="2"/>
      <c r="AB267" s="2"/>
      <c r="AD267" s="2"/>
      <c r="AE267" s="2"/>
      <c r="AF267" s="2"/>
      <c r="AG267" s="2"/>
      <c r="AH267" s="2"/>
      <c r="AT267" s="5"/>
      <c r="AW267" s="2"/>
      <c r="AX267" s="2"/>
      <c r="AY267" s="2"/>
      <c r="AZ267" s="2"/>
      <c r="BA267" s="2"/>
      <c r="BB267" s="2"/>
      <c r="BC267" s="2"/>
    </row>
    <row r="268" spans="1:55" s="1" customFormat="1" ht="20.25" customHeight="1" x14ac:dyDescent="0.25">
      <c r="A268" s="101" t="s">
        <v>55</v>
      </c>
      <c r="N268" s="77"/>
      <c r="O268" s="3"/>
      <c r="Q268" s="41"/>
      <c r="R268" s="41"/>
      <c r="S268" s="41"/>
      <c r="T268" s="40"/>
      <c r="U268" s="17"/>
      <c r="V268" s="17"/>
      <c r="W268" s="17"/>
      <c r="X268" s="17"/>
      <c r="Z268" s="2"/>
      <c r="AA268" s="2"/>
      <c r="AB268" s="2"/>
      <c r="AD268" s="2"/>
      <c r="AE268" s="2"/>
      <c r="AF268" s="2"/>
      <c r="AG268" s="2"/>
      <c r="AH268" s="2"/>
      <c r="AT268" s="5"/>
      <c r="AW268" s="2"/>
      <c r="AX268" s="2"/>
      <c r="AY268" s="2"/>
      <c r="AZ268" s="2"/>
      <c r="BA268" s="2"/>
      <c r="BB268" s="2"/>
      <c r="BC268" s="2"/>
    </row>
    <row r="269" spans="1:55" s="1" customFormat="1" ht="20.25" customHeight="1" x14ac:dyDescent="0.25">
      <c r="A269" s="101" t="s">
        <v>55</v>
      </c>
      <c r="N269" s="77"/>
      <c r="O269" s="3"/>
      <c r="Q269" s="41"/>
      <c r="R269" s="41"/>
      <c r="S269" s="41"/>
      <c r="T269" s="16"/>
      <c r="U269" s="17"/>
      <c r="V269" s="17"/>
      <c r="W269" s="17"/>
      <c r="X269" s="17"/>
      <c r="Z269" s="2"/>
      <c r="AA269" s="2"/>
      <c r="AB269" s="2"/>
      <c r="AD269" s="2"/>
      <c r="AE269" s="2"/>
      <c r="AF269" s="2"/>
      <c r="AG269" s="2"/>
      <c r="AH269" s="2"/>
      <c r="AT269" s="5"/>
      <c r="AW269" s="2"/>
      <c r="AX269" s="2"/>
      <c r="AY269" s="2"/>
      <c r="AZ269" s="2"/>
      <c r="BA269" s="2"/>
      <c r="BB269" s="2"/>
      <c r="BC269" s="2"/>
    </row>
    <row r="270" spans="1:55" s="1" customFormat="1" ht="20.25" customHeight="1" x14ac:dyDescent="0.25">
      <c r="A270" s="101" t="s">
        <v>55</v>
      </c>
      <c r="N270" s="77"/>
      <c r="O270" s="3"/>
      <c r="Q270" s="41"/>
      <c r="R270" s="41"/>
      <c r="S270" s="41"/>
      <c r="T270" s="40"/>
      <c r="U270" s="17"/>
      <c r="V270" s="17"/>
      <c r="W270" s="17"/>
      <c r="X270" s="17"/>
      <c r="Z270" s="2"/>
      <c r="AA270" s="2"/>
      <c r="AB270" s="2"/>
      <c r="AD270" s="2"/>
      <c r="AE270" s="2"/>
      <c r="AF270" s="2"/>
      <c r="AG270" s="2"/>
      <c r="AH270" s="2"/>
      <c r="AT270" s="5"/>
      <c r="AW270" s="2"/>
      <c r="AX270" s="2"/>
      <c r="AY270" s="2"/>
      <c r="AZ270" s="2"/>
      <c r="BA270" s="2"/>
      <c r="BB270" s="2"/>
      <c r="BC270" s="2"/>
    </row>
    <row r="271" spans="1:55" s="1" customFormat="1" ht="20.25" customHeight="1" x14ac:dyDescent="0.25">
      <c r="A271" s="101" t="s">
        <v>55</v>
      </c>
      <c r="N271" s="77"/>
      <c r="O271" s="3"/>
      <c r="Q271" s="41"/>
      <c r="R271" s="41"/>
      <c r="S271" s="41"/>
      <c r="T271" s="40"/>
      <c r="U271" s="17"/>
      <c r="V271" s="17"/>
      <c r="W271" s="17"/>
      <c r="X271" s="17"/>
      <c r="Z271" s="2"/>
      <c r="AA271" s="2"/>
      <c r="AB271" s="2"/>
      <c r="AD271" s="2"/>
      <c r="AE271" s="2"/>
      <c r="AF271" s="2"/>
      <c r="AG271" s="2"/>
      <c r="AH271" s="2"/>
      <c r="AT271" s="5"/>
      <c r="AW271" s="2"/>
      <c r="AX271" s="2"/>
      <c r="AY271" s="2"/>
      <c r="AZ271" s="2"/>
      <c r="BA271" s="2"/>
      <c r="BB271" s="2"/>
      <c r="BC271" s="2"/>
    </row>
    <row r="272" spans="1:55" s="1" customFormat="1" ht="20.25" customHeight="1" x14ac:dyDescent="0.25">
      <c r="A272" s="101" t="s">
        <v>55</v>
      </c>
      <c r="N272" s="77"/>
      <c r="O272" s="3"/>
      <c r="Q272" s="41"/>
      <c r="R272" s="41"/>
      <c r="S272" s="41"/>
      <c r="T272" s="16"/>
      <c r="U272" s="17"/>
      <c r="V272" s="17"/>
      <c r="W272" s="17"/>
      <c r="X272" s="17"/>
      <c r="Z272" s="2"/>
      <c r="AA272" s="2"/>
      <c r="AB272" s="2"/>
      <c r="AD272" s="2"/>
      <c r="AE272" s="2"/>
      <c r="AF272" s="2"/>
      <c r="AG272" s="2"/>
      <c r="AH272" s="2"/>
      <c r="AT272" s="5"/>
      <c r="AW272" s="2"/>
      <c r="AX272" s="2"/>
      <c r="AY272" s="2"/>
      <c r="AZ272" s="2"/>
      <c r="BA272" s="2"/>
      <c r="BB272" s="2"/>
      <c r="BC272" s="2"/>
    </row>
    <row r="273" spans="1:55" s="1" customFormat="1" ht="20.25" customHeight="1" x14ac:dyDescent="0.25">
      <c r="A273" s="101" t="s">
        <v>55</v>
      </c>
      <c r="N273" s="77"/>
      <c r="O273" s="3"/>
      <c r="Q273" s="41"/>
      <c r="R273" s="41"/>
      <c r="S273" s="41"/>
      <c r="T273" s="40"/>
      <c r="U273" s="17"/>
      <c r="V273" s="17"/>
      <c r="W273" s="17"/>
      <c r="X273" s="17"/>
      <c r="Z273" s="2"/>
      <c r="AA273" s="2"/>
      <c r="AB273" s="2"/>
      <c r="AD273" s="2"/>
      <c r="AE273" s="2"/>
      <c r="AF273" s="2"/>
      <c r="AG273" s="2"/>
      <c r="AH273" s="2"/>
      <c r="AT273" s="5"/>
      <c r="AW273" s="2"/>
      <c r="AX273" s="2"/>
      <c r="AY273" s="2"/>
      <c r="AZ273" s="2"/>
      <c r="BA273" s="2"/>
      <c r="BB273" s="2"/>
      <c r="BC273" s="2"/>
    </row>
    <row r="274" spans="1:55" s="1" customFormat="1" ht="20.25" customHeight="1" x14ac:dyDescent="0.25">
      <c r="A274" s="101" t="s">
        <v>55</v>
      </c>
      <c r="N274" s="77"/>
      <c r="O274" s="3"/>
      <c r="Q274" s="41"/>
      <c r="R274" s="41"/>
      <c r="S274" s="41"/>
      <c r="T274" s="40"/>
      <c r="U274" s="17"/>
      <c r="V274" s="17"/>
      <c r="W274" s="17"/>
      <c r="X274" s="17"/>
      <c r="Z274" s="2"/>
      <c r="AA274" s="2"/>
      <c r="AB274" s="2"/>
      <c r="AD274" s="2"/>
      <c r="AE274" s="2"/>
      <c r="AF274" s="2"/>
      <c r="AG274" s="2"/>
      <c r="AH274" s="2"/>
      <c r="AT274" s="5"/>
      <c r="AW274" s="2"/>
      <c r="AX274" s="2"/>
      <c r="AY274" s="2"/>
      <c r="AZ274" s="2"/>
      <c r="BA274" s="2"/>
      <c r="BB274" s="2"/>
      <c r="BC274" s="2"/>
    </row>
    <row r="275" spans="1:55" s="1" customFormat="1" ht="20.25" customHeight="1" x14ac:dyDescent="0.25">
      <c r="A275" s="101" t="s">
        <v>55</v>
      </c>
      <c r="N275" s="77"/>
      <c r="O275" s="3"/>
      <c r="Q275" s="41"/>
      <c r="R275" s="41"/>
      <c r="S275" s="41"/>
      <c r="T275" s="16"/>
      <c r="U275" s="17"/>
      <c r="V275" s="17"/>
      <c r="W275" s="17"/>
      <c r="X275" s="17"/>
      <c r="Z275" s="2"/>
      <c r="AA275" s="2"/>
      <c r="AB275" s="2"/>
      <c r="AD275" s="2"/>
      <c r="AE275" s="2"/>
      <c r="AF275" s="2"/>
      <c r="AG275" s="2"/>
      <c r="AH275" s="2"/>
      <c r="AT275" s="5"/>
      <c r="AW275" s="2"/>
      <c r="AX275" s="2"/>
      <c r="AY275" s="2"/>
      <c r="AZ275" s="2"/>
      <c r="BA275" s="2"/>
      <c r="BB275" s="2"/>
      <c r="BC275" s="2"/>
    </row>
    <row r="276" spans="1:55" s="1" customFormat="1" ht="20.25" customHeight="1" x14ac:dyDescent="0.25">
      <c r="A276" s="101" t="s">
        <v>55</v>
      </c>
      <c r="N276" s="77"/>
      <c r="O276" s="3"/>
      <c r="Q276" s="41"/>
      <c r="R276" s="41"/>
      <c r="S276" s="41"/>
      <c r="T276" s="40"/>
      <c r="U276" s="17"/>
      <c r="V276" s="17"/>
      <c r="W276" s="17"/>
      <c r="X276" s="17"/>
      <c r="Z276" s="2"/>
      <c r="AA276" s="2"/>
      <c r="AB276" s="2"/>
      <c r="AD276" s="2"/>
      <c r="AE276" s="2"/>
      <c r="AF276" s="2"/>
      <c r="AG276" s="2"/>
      <c r="AH276" s="2"/>
      <c r="AT276" s="5"/>
      <c r="AW276" s="2"/>
      <c r="AX276" s="2"/>
      <c r="AY276" s="2"/>
      <c r="AZ276" s="2"/>
      <c r="BA276" s="2"/>
      <c r="BB276" s="2"/>
      <c r="BC276" s="2"/>
    </row>
    <row r="277" spans="1:55" s="1" customFormat="1" ht="20.25" customHeight="1" x14ac:dyDescent="0.25">
      <c r="A277" s="101" t="s">
        <v>55</v>
      </c>
      <c r="N277" s="77"/>
      <c r="O277" s="3"/>
      <c r="Q277" s="41"/>
      <c r="R277" s="41"/>
      <c r="S277" s="41"/>
      <c r="T277" s="40"/>
      <c r="U277" s="17"/>
      <c r="V277" s="17"/>
      <c r="W277" s="17"/>
      <c r="X277" s="17"/>
      <c r="Z277" s="2"/>
      <c r="AA277" s="2"/>
      <c r="AB277" s="2"/>
      <c r="AD277" s="2"/>
      <c r="AE277" s="2"/>
      <c r="AF277" s="2"/>
      <c r="AG277" s="2"/>
      <c r="AH277" s="2"/>
      <c r="AT277" s="5"/>
      <c r="AW277" s="2"/>
      <c r="AX277" s="2"/>
      <c r="AY277" s="2"/>
      <c r="AZ277" s="2"/>
      <c r="BA277" s="2"/>
      <c r="BB277" s="2"/>
      <c r="BC277" s="2"/>
    </row>
    <row r="278" spans="1:55" s="1" customFormat="1" ht="20.25" customHeight="1" x14ac:dyDescent="0.25">
      <c r="A278" s="101" t="s">
        <v>55</v>
      </c>
      <c r="N278" s="77"/>
      <c r="O278" s="3"/>
      <c r="Q278" s="41"/>
      <c r="R278" s="41"/>
      <c r="S278" s="41"/>
      <c r="T278" s="16"/>
      <c r="U278" s="17"/>
      <c r="V278" s="17"/>
      <c r="W278" s="17"/>
      <c r="X278" s="17"/>
      <c r="Z278" s="2"/>
      <c r="AA278" s="2"/>
      <c r="AB278" s="2"/>
      <c r="AD278" s="2"/>
      <c r="AE278" s="2"/>
      <c r="AF278" s="2"/>
      <c r="AG278" s="2"/>
      <c r="AH278" s="2"/>
      <c r="AT278" s="5"/>
      <c r="AW278" s="2"/>
      <c r="AX278" s="2"/>
      <c r="AY278" s="2"/>
      <c r="AZ278" s="2"/>
      <c r="BA278" s="2"/>
      <c r="BB278" s="2"/>
      <c r="BC278" s="2"/>
    </row>
    <row r="279" spans="1:55" s="1" customFormat="1" ht="20.25" customHeight="1" x14ac:dyDescent="0.25">
      <c r="A279" s="101" t="s">
        <v>55</v>
      </c>
      <c r="N279" s="77"/>
      <c r="O279" s="3"/>
      <c r="Q279" s="41"/>
      <c r="R279" s="41"/>
      <c r="S279" s="41"/>
      <c r="T279" s="40"/>
      <c r="U279" s="17"/>
      <c r="V279" s="17"/>
      <c r="W279" s="17"/>
      <c r="X279" s="17"/>
      <c r="Z279" s="2"/>
      <c r="AA279" s="2"/>
      <c r="AB279" s="2"/>
      <c r="AD279" s="2"/>
      <c r="AE279" s="2"/>
      <c r="AF279" s="2"/>
      <c r="AG279" s="2"/>
      <c r="AH279" s="2"/>
      <c r="AT279" s="5"/>
      <c r="AW279" s="2"/>
      <c r="AX279" s="2"/>
      <c r="AY279" s="2"/>
      <c r="AZ279" s="2"/>
      <c r="BA279" s="2"/>
      <c r="BB279" s="2"/>
      <c r="BC279" s="2"/>
    </row>
    <row r="280" spans="1:55" s="1" customFormat="1" ht="20.25" customHeight="1" x14ac:dyDescent="0.25">
      <c r="A280" s="101" t="s">
        <v>55</v>
      </c>
      <c r="N280" s="77"/>
      <c r="O280" s="3"/>
      <c r="Q280" s="41"/>
      <c r="R280" s="41"/>
      <c r="S280" s="41"/>
      <c r="T280" s="40"/>
      <c r="U280" s="17"/>
      <c r="V280" s="17"/>
      <c r="W280" s="17"/>
      <c r="X280" s="17"/>
      <c r="Z280" s="2"/>
      <c r="AA280" s="2"/>
      <c r="AB280" s="2"/>
      <c r="AD280" s="2"/>
      <c r="AE280" s="2"/>
      <c r="AF280" s="2"/>
      <c r="AG280" s="2"/>
      <c r="AT280" s="5"/>
      <c r="AW280" s="2"/>
      <c r="AX280" s="2"/>
      <c r="AY280" s="2"/>
      <c r="AZ280" s="2"/>
      <c r="BA280" s="2"/>
      <c r="BB280" s="2"/>
      <c r="BC280" s="2"/>
    </row>
    <row r="281" spans="1:55" s="1" customFormat="1" ht="20.25" customHeight="1" x14ac:dyDescent="0.25">
      <c r="A281" s="101" t="s">
        <v>55</v>
      </c>
      <c r="N281" s="77"/>
      <c r="O281" s="3"/>
      <c r="Q281" s="41"/>
      <c r="R281" s="41"/>
      <c r="S281" s="41"/>
      <c r="T281" s="40"/>
      <c r="U281" s="17"/>
      <c r="V281" s="17"/>
      <c r="W281" s="17"/>
      <c r="X281" s="17"/>
      <c r="Z281" s="2"/>
      <c r="AA281" s="2"/>
      <c r="AB281" s="2"/>
      <c r="AD281" s="2"/>
      <c r="AE281" s="2"/>
      <c r="AF281" s="2"/>
      <c r="AG281" s="2"/>
      <c r="AT281" s="5"/>
      <c r="AW281" s="2"/>
      <c r="AX281" s="2"/>
      <c r="AY281" s="2"/>
      <c r="AZ281" s="2"/>
      <c r="BA281" s="2"/>
      <c r="BB281" s="2"/>
      <c r="BC281" s="2"/>
    </row>
    <row r="282" spans="1:55" s="1" customFormat="1" ht="20.25" customHeight="1" x14ac:dyDescent="0.25">
      <c r="A282" s="101" t="s">
        <v>55</v>
      </c>
      <c r="N282" s="77"/>
      <c r="O282" s="3"/>
      <c r="Q282" s="41"/>
      <c r="R282" s="41"/>
      <c r="S282" s="41"/>
      <c r="T282" s="16"/>
      <c r="U282" s="17"/>
      <c r="V282" s="17"/>
      <c r="W282" s="17"/>
      <c r="X282" s="17"/>
      <c r="Z282" s="2"/>
      <c r="AA282" s="2"/>
      <c r="AB282" s="2"/>
      <c r="AD282" s="2"/>
      <c r="AE282" s="2"/>
      <c r="AF282" s="2"/>
      <c r="AG282" s="2"/>
      <c r="AT282" s="5"/>
      <c r="AW282" s="2"/>
      <c r="AX282" s="2"/>
      <c r="AY282" s="2"/>
      <c r="AZ282" s="2"/>
      <c r="BA282" s="2"/>
      <c r="BB282" s="2"/>
      <c r="BC282" s="2"/>
    </row>
    <row r="283" spans="1:55" s="1" customFormat="1" ht="20.25" customHeight="1" x14ac:dyDescent="0.25">
      <c r="A283" s="101" t="s">
        <v>55</v>
      </c>
      <c r="N283" s="77"/>
      <c r="O283" s="3"/>
      <c r="Q283" s="41"/>
      <c r="R283" s="41"/>
      <c r="S283" s="41"/>
      <c r="T283" s="16"/>
      <c r="U283" s="17"/>
      <c r="V283" s="17"/>
      <c r="W283" s="17"/>
      <c r="X283" s="17"/>
      <c r="Z283" s="2"/>
      <c r="AA283" s="2"/>
      <c r="AB283" s="2"/>
      <c r="AD283" s="2"/>
      <c r="AE283" s="2"/>
      <c r="AF283" s="2"/>
      <c r="AG283" s="2"/>
      <c r="AT283" s="5"/>
      <c r="AW283" s="2"/>
      <c r="AX283" s="2"/>
      <c r="AY283" s="2"/>
      <c r="AZ283" s="2"/>
      <c r="BA283" s="2"/>
      <c r="BB283" s="2"/>
      <c r="BC283" s="2"/>
    </row>
    <row r="284" spans="1:55" s="1" customFormat="1" ht="20.25" customHeight="1" x14ac:dyDescent="0.25">
      <c r="A284" s="101" t="s">
        <v>55</v>
      </c>
      <c r="N284" s="77"/>
      <c r="O284" s="3"/>
      <c r="Q284" s="41"/>
      <c r="R284" s="41"/>
      <c r="S284" s="41"/>
      <c r="T284" s="40"/>
      <c r="U284" s="17"/>
      <c r="V284" s="17"/>
      <c r="W284" s="17"/>
      <c r="X284" s="17"/>
      <c r="Z284" s="2"/>
      <c r="AA284" s="2"/>
      <c r="AB284" s="2"/>
      <c r="AD284" s="2"/>
      <c r="AE284" s="2"/>
      <c r="AF284" s="2"/>
      <c r="AG284" s="2"/>
      <c r="AT284" s="5"/>
      <c r="AW284" s="2"/>
      <c r="AX284" s="2"/>
      <c r="AY284" s="2"/>
      <c r="AZ284" s="2"/>
      <c r="BA284" s="2"/>
      <c r="BB284" s="2"/>
      <c r="BC284" s="2"/>
    </row>
    <row r="285" spans="1:55" s="1" customFormat="1" ht="20.25" customHeight="1" x14ac:dyDescent="0.25">
      <c r="A285" s="101" t="s">
        <v>55</v>
      </c>
      <c r="N285" s="77"/>
      <c r="O285" s="3"/>
      <c r="Q285" s="41"/>
      <c r="R285" s="41"/>
      <c r="S285" s="41"/>
      <c r="T285" s="40"/>
      <c r="U285" s="17"/>
      <c r="V285" s="17"/>
      <c r="W285" s="17"/>
      <c r="X285" s="17"/>
      <c r="Z285" s="2"/>
      <c r="AA285" s="2"/>
      <c r="AB285" s="2"/>
      <c r="AD285" s="2"/>
      <c r="AE285" s="2"/>
      <c r="AF285" s="2"/>
      <c r="AG285" s="2"/>
      <c r="AT285" s="5"/>
      <c r="AW285" s="2"/>
      <c r="AX285" s="2"/>
      <c r="AY285" s="2"/>
      <c r="AZ285" s="2"/>
      <c r="BA285" s="2"/>
      <c r="BB285" s="2"/>
      <c r="BC285" s="2"/>
    </row>
    <row r="286" spans="1:55" s="1" customFormat="1" ht="20.25" customHeight="1" x14ac:dyDescent="0.25">
      <c r="A286" s="101" t="s">
        <v>55</v>
      </c>
      <c r="N286" s="77"/>
      <c r="O286" s="3"/>
      <c r="Q286" s="41"/>
      <c r="R286" s="41"/>
      <c r="S286" s="41"/>
      <c r="T286" s="40"/>
      <c r="U286" s="17"/>
      <c r="V286" s="17"/>
      <c r="W286" s="17"/>
      <c r="X286" s="17"/>
      <c r="Z286" s="2"/>
      <c r="AA286" s="2"/>
      <c r="AB286" s="2"/>
      <c r="AD286" s="2"/>
      <c r="AE286" s="2"/>
      <c r="AF286" s="2"/>
      <c r="AG286" s="2"/>
      <c r="AT286" s="5"/>
      <c r="AW286" s="2"/>
      <c r="AX286" s="2"/>
      <c r="AY286" s="2"/>
      <c r="AZ286" s="2"/>
      <c r="BA286" s="2"/>
      <c r="BB286" s="2"/>
      <c r="BC286" s="2"/>
    </row>
    <row r="287" spans="1:55" s="1" customFormat="1" ht="20.25" customHeight="1" x14ac:dyDescent="0.25">
      <c r="A287" s="101" t="s">
        <v>55</v>
      </c>
      <c r="N287" s="77"/>
      <c r="O287" s="3"/>
      <c r="Q287" s="41"/>
      <c r="R287" s="41"/>
      <c r="S287" s="41"/>
      <c r="T287" s="40"/>
      <c r="U287" s="17"/>
      <c r="V287" s="17"/>
      <c r="W287" s="17"/>
      <c r="X287" s="17"/>
      <c r="Z287" s="2"/>
      <c r="AA287" s="2"/>
      <c r="AB287" s="2"/>
      <c r="AD287" s="2"/>
      <c r="AE287" s="2"/>
      <c r="AF287" s="2"/>
      <c r="AG287" s="2"/>
      <c r="AT287" s="5"/>
      <c r="AW287" s="2"/>
      <c r="AX287" s="2"/>
      <c r="AY287" s="2"/>
      <c r="AZ287" s="2"/>
      <c r="BA287" s="2"/>
      <c r="BB287" s="2"/>
      <c r="BC287" s="2"/>
    </row>
    <row r="288" spans="1:55" s="1" customFormat="1" ht="20.25" customHeight="1" x14ac:dyDescent="0.25">
      <c r="A288" s="101" t="s">
        <v>55</v>
      </c>
      <c r="N288" s="77"/>
      <c r="O288" s="3"/>
      <c r="Q288" s="41"/>
      <c r="R288" s="41"/>
      <c r="S288" s="41"/>
      <c r="T288" s="16"/>
      <c r="U288" s="17"/>
      <c r="V288" s="17"/>
      <c r="W288" s="17"/>
      <c r="X288" s="17"/>
      <c r="Z288" s="2"/>
      <c r="AA288" s="2"/>
      <c r="AB288" s="2"/>
      <c r="AD288" s="2"/>
      <c r="AE288" s="2"/>
      <c r="AF288" s="2"/>
      <c r="AG288" s="2"/>
      <c r="AT288" s="5"/>
      <c r="AW288" s="2"/>
      <c r="AX288" s="2"/>
      <c r="AY288" s="2"/>
      <c r="AZ288" s="2"/>
      <c r="BA288" s="2"/>
      <c r="BB288" s="2"/>
      <c r="BC288" s="2"/>
    </row>
    <row r="289" spans="1:55" s="1" customFormat="1" ht="20.25" customHeight="1" x14ac:dyDescent="0.25">
      <c r="A289" s="101" t="s">
        <v>55</v>
      </c>
      <c r="N289" s="77"/>
      <c r="O289" s="3"/>
      <c r="Q289" s="41"/>
      <c r="R289" s="41"/>
      <c r="S289" s="41"/>
      <c r="T289" s="16"/>
      <c r="U289" s="17"/>
      <c r="V289" s="17"/>
      <c r="W289" s="17"/>
      <c r="X289" s="17"/>
      <c r="Z289" s="2"/>
      <c r="AA289" s="2"/>
      <c r="AB289" s="2"/>
      <c r="AD289" s="2"/>
      <c r="AE289" s="2"/>
      <c r="AF289" s="2"/>
      <c r="AG289" s="2"/>
      <c r="AT289" s="5"/>
      <c r="AW289" s="2"/>
      <c r="AX289" s="2"/>
      <c r="AY289" s="2"/>
      <c r="AZ289" s="2"/>
      <c r="BA289" s="2"/>
      <c r="BB289" s="2"/>
      <c r="BC289" s="2"/>
    </row>
    <row r="290" spans="1:55" s="1" customFormat="1" ht="20.25" customHeight="1" x14ac:dyDescent="0.25">
      <c r="A290" s="101" t="s">
        <v>55</v>
      </c>
      <c r="N290" s="77"/>
      <c r="O290" s="3"/>
      <c r="Q290" s="41"/>
      <c r="R290" s="41"/>
      <c r="S290" s="41"/>
      <c r="T290" s="40"/>
      <c r="U290" s="17"/>
      <c r="V290" s="17"/>
      <c r="W290" s="17"/>
      <c r="X290" s="17"/>
      <c r="Z290" s="2"/>
      <c r="AA290" s="2"/>
      <c r="AB290" s="2"/>
      <c r="AD290" s="2"/>
      <c r="AE290" s="2"/>
      <c r="AF290" s="2"/>
      <c r="AG290" s="2"/>
      <c r="AT290" s="5"/>
      <c r="AW290" s="2"/>
      <c r="AX290" s="2"/>
      <c r="AY290" s="2"/>
      <c r="AZ290" s="2"/>
      <c r="BA290" s="2"/>
      <c r="BB290" s="2"/>
      <c r="BC290" s="2"/>
    </row>
    <row r="291" spans="1:55" s="1" customFormat="1" ht="20.25" customHeight="1" x14ac:dyDescent="0.25">
      <c r="A291" s="101" t="s">
        <v>55</v>
      </c>
      <c r="N291" s="77"/>
      <c r="O291" s="3"/>
      <c r="Q291" s="41"/>
      <c r="R291" s="41"/>
      <c r="S291" s="41"/>
      <c r="T291" s="40"/>
      <c r="U291" s="17"/>
      <c r="V291" s="17"/>
      <c r="W291" s="17"/>
      <c r="X291" s="17"/>
      <c r="Z291" s="2"/>
      <c r="AA291" s="2"/>
      <c r="AB291" s="2"/>
      <c r="AD291" s="2"/>
      <c r="AE291" s="2"/>
      <c r="AF291" s="2"/>
      <c r="AG291" s="2"/>
      <c r="AT291" s="5"/>
      <c r="AW291" s="2"/>
      <c r="AX291" s="2"/>
      <c r="AY291" s="2"/>
      <c r="AZ291" s="2"/>
      <c r="BA291" s="2"/>
      <c r="BB291" s="2"/>
      <c r="BC291" s="2"/>
    </row>
    <row r="292" spans="1:55" s="1" customFormat="1" ht="20.25" customHeight="1" x14ac:dyDescent="0.25">
      <c r="A292" s="101" t="s">
        <v>55</v>
      </c>
      <c r="N292" s="77"/>
      <c r="O292" s="3"/>
      <c r="Q292" s="41"/>
      <c r="R292" s="41"/>
      <c r="S292" s="41"/>
      <c r="T292" s="40"/>
      <c r="U292" s="17"/>
      <c r="V292" s="17"/>
      <c r="W292" s="17"/>
      <c r="X292" s="17"/>
      <c r="Z292" s="2"/>
      <c r="AA292" s="2"/>
      <c r="AB292" s="2"/>
      <c r="AD292" s="2"/>
      <c r="AE292" s="2"/>
      <c r="AF292" s="2"/>
      <c r="AG292" s="2"/>
      <c r="AT292" s="5"/>
      <c r="AW292" s="2"/>
      <c r="AX292" s="2"/>
      <c r="AY292" s="2"/>
      <c r="AZ292" s="2"/>
      <c r="BA292" s="2"/>
      <c r="BB292" s="2"/>
      <c r="BC292" s="2"/>
    </row>
    <row r="293" spans="1:55" s="1" customFormat="1" ht="20.25" customHeight="1" x14ac:dyDescent="0.25">
      <c r="A293" s="101" t="s">
        <v>55</v>
      </c>
      <c r="N293" s="77"/>
      <c r="O293" s="3"/>
      <c r="Q293" s="41"/>
      <c r="R293" s="41"/>
      <c r="S293" s="41"/>
      <c r="T293" s="40"/>
      <c r="U293" s="17"/>
      <c r="V293" s="17"/>
      <c r="W293" s="17"/>
      <c r="X293" s="17"/>
      <c r="Z293" s="2"/>
      <c r="AA293" s="2"/>
      <c r="AB293" s="2"/>
      <c r="AD293" s="2"/>
      <c r="AE293" s="2"/>
      <c r="AF293" s="2"/>
      <c r="AG293" s="2"/>
      <c r="AT293" s="5"/>
      <c r="AW293" s="2"/>
      <c r="AX293" s="2"/>
      <c r="AY293" s="2"/>
      <c r="AZ293" s="2"/>
      <c r="BA293" s="2"/>
      <c r="BB293" s="2"/>
      <c r="BC293" s="2"/>
    </row>
    <row r="294" spans="1:55" s="1" customFormat="1" ht="20.25" customHeight="1" x14ac:dyDescent="0.25">
      <c r="A294" s="101" t="s">
        <v>55</v>
      </c>
      <c r="N294" s="77"/>
      <c r="O294" s="3"/>
      <c r="Q294" s="41"/>
      <c r="R294" s="41"/>
      <c r="S294" s="41"/>
      <c r="T294" s="16"/>
      <c r="U294" s="17"/>
      <c r="V294" s="17"/>
      <c r="W294" s="17"/>
      <c r="X294" s="17"/>
      <c r="Z294" s="2"/>
      <c r="AA294" s="2"/>
      <c r="AB294" s="2"/>
      <c r="AD294" s="2"/>
      <c r="AE294" s="2"/>
      <c r="AF294" s="2"/>
      <c r="AG294" s="2"/>
      <c r="AT294" s="5"/>
      <c r="AW294" s="2"/>
      <c r="AX294" s="2"/>
      <c r="AY294" s="2"/>
      <c r="AZ294" s="2"/>
      <c r="BA294" s="2"/>
      <c r="BB294" s="2"/>
      <c r="BC294" s="2"/>
    </row>
    <row r="295" spans="1:55" s="1" customFormat="1" ht="20.25" customHeight="1" x14ac:dyDescent="0.25">
      <c r="A295" s="101" t="s">
        <v>55</v>
      </c>
      <c r="N295" s="77"/>
      <c r="O295" s="3"/>
      <c r="Q295" s="41"/>
      <c r="R295" s="41"/>
      <c r="S295" s="41"/>
      <c r="T295" s="16"/>
      <c r="U295" s="17"/>
      <c r="V295" s="17"/>
      <c r="W295" s="17"/>
      <c r="X295" s="17"/>
      <c r="Z295" s="2"/>
      <c r="AA295" s="2"/>
      <c r="AB295" s="2"/>
      <c r="AD295" s="2"/>
      <c r="AE295" s="2"/>
      <c r="AF295" s="2"/>
      <c r="AG295" s="2"/>
      <c r="AT295" s="5"/>
      <c r="AW295" s="2"/>
      <c r="AX295" s="2"/>
      <c r="AY295" s="2"/>
      <c r="AZ295" s="2"/>
      <c r="BA295" s="2"/>
      <c r="BB295" s="2"/>
      <c r="BC295" s="2"/>
    </row>
    <row r="296" spans="1:55" s="1" customFormat="1" ht="20.25" customHeight="1" x14ac:dyDescent="0.25">
      <c r="A296" s="101" t="s">
        <v>55</v>
      </c>
      <c r="N296" s="77"/>
      <c r="O296" s="3"/>
      <c r="Q296" s="41"/>
      <c r="R296" s="41"/>
      <c r="S296" s="41"/>
      <c r="T296" s="40"/>
      <c r="U296" s="17"/>
      <c r="V296" s="17"/>
      <c r="W296" s="17"/>
      <c r="X296" s="17"/>
      <c r="Z296" s="2"/>
      <c r="AA296" s="2"/>
      <c r="AB296" s="2"/>
      <c r="AD296" s="2"/>
      <c r="AE296" s="2"/>
      <c r="AF296" s="2"/>
      <c r="AG296" s="2"/>
      <c r="AT296" s="5"/>
      <c r="AW296" s="2"/>
      <c r="AX296" s="2"/>
      <c r="AY296" s="2"/>
      <c r="AZ296" s="2"/>
      <c r="BA296" s="2"/>
      <c r="BB296" s="2"/>
      <c r="BC296" s="2"/>
    </row>
    <row r="297" spans="1:55" s="1" customFormat="1" ht="20.25" customHeight="1" x14ac:dyDescent="0.25">
      <c r="A297" s="101" t="s">
        <v>55</v>
      </c>
      <c r="N297" s="77"/>
      <c r="O297" s="3"/>
      <c r="Q297" s="41"/>
      <c r="R297" s="41"/>
      <c r="S297" s="41"/>
      <c r="T297" s="40"/>
      <c r="U297" s="17"/>
      <c r="V297" s="17"/>
      <c r="W297" s="17"/>
      <c r="X297" s="17"/>
      <c r="Z297" s="2"/>
      <c r="AA297" s="2"/>
      <c r="AB297" s="2"/>
      <c r="AD297" s="2"/>
      <c r="AE297" s="2"/>
      <c r="AF297" s="2"/>
      <c r="AG297" s="2"/>
      <c r="AT297" s="5"/>
      <c r="AW297" s="2"/>
      <c r="AX297" s="2"/>
      <c r="AY297" s="2"/>
      <c r="AZ297" s="2"/>
      <c r="BA297" s="2"/>
      <c r="BB297" s="2"/>
      <c r="BC297" s="2"/>
    </row>
    <row r="298" spans="1:55" s="1" customFormat="1" ht="20.25" customHeight="1" x14ac:dyDescent="0.25">
      <c r="A298" s="101" t="s">
        <v>55</v>
      </c>
      <c r="N298" s="77"/>
      <c r="O298" s="3"/>
      <c r="Q298" s="41"/>
      <c r="R298" s="41"/>
      <c r="S298" s="41"/>
      <c r="T298" s="40"/>
      <c r="U298" s="17"/>
      <c r="V298" s="17"/>
      <c r="W298" s="17"/>
      <c r="X298" s="17"/>
      <c r="Z298" s="2"/>
      <c r="AA298" s="2"/>
      <c r="AB298" s="2"/>
      <c r="AD298" s="2"/>
      <c r="AE298" s="2"/>
      <c r="AF298" s="2"/>
      <c r="AG298" s="2"/>
      <c r="AT298" s="5"/>
      <c r="AW298" s="2"/>
      <c r="AX298" s="2"/>
      <c r="AY298" s="2"/>
      <c r="AZ298" s="2"/>
      <c r="BA298" s="2"/>
      <c r="BB298" s="2"/>
      <c r="BC298" s="2"/>
    </row>
    <row r="299" spans="1:55" s="1" customFormat="1" ht="20.25" customHeight="1" x14ac:dyDescent="0.25">
      <c r="A299" s="101" t="s">
        <v>55</v>
      </c>
      <c r="N299" s="77"/>
      <c r="O299" s="3"/>
      <c r="Q299" s="41"/>
      <c r="R299" s="41"/>
      <c r="S299" s="41"/>
      <c r="T299" s="40"/>
      <c r="U299" s="17"/>
      <c r="V299" s="17"/>
      <c r="W299" s="17"/>
      <c r="X299" s="17"/>
      <c r="Z299" s="2"/>
      <c r="AA299" s="2"/>
      <c r="AB299" s="2"/>
      <c r="AD299" s="2"/>
      <c r="AE299" s="2"/>
      <c r="AF299" s="2"/>
      <c r="AG299" s="2"/>
      <c r="AT299" s="5"/>
      <c r="AW299" s="2"/>
      <c r="AX299" s="2"/>
      <c r="AY299" s="2"/>
      <c r="AZ299" s="2"/>
      <c r="BA299" s="2"/>
      <c r="BB299" s="2"/>
      <c r="BC299" s="2"/>
    </row>
    <row r="300" spans="1:55" s="1" customFormat="1" ht="20.25" customHeight="1" x14ac:dyDescent="0.25">
      <c r="A300" s="101" t="s">
        <v>55</v>
      </c>
      <c r="N300" s="77"/>
      <c r="O300" s="3"/>
      <c r="Q300" s="41"/>
      <c r="R300" s="41"/>
      <c r="S300" s="41"/>
      <c r="T300" s="16"/>
      <c r="U300" s="17"/>
      <c r="V300" s="17"/>
      <c r="W300" s="17"/>
      <c r="X300" s="17"/>
      <c r="Z300" s="2"/>
      <c r="AA300" s="2"/>
      <c r="AB300" s="2"/>
      <c r="AD300" s="2"/>
      <c r="AE300" s="2"/>
      <c r="AF300" s="2"/>
      <c r="AG300" s="2"/>
      <c r="AT300" s="5"/>
      <c r="AW300" s="2"/>
      <c r="AX300" s="2"/>
      <c r="AY300" s="2"/>
      <c r="AZ300" s="2"/>
      <c r="BA300" s="2"/>
      <c r="BB300" s="2"/>
      <c r="BC300" s="2"/>
    </row>
    <row r="301" spans="1:55" s="1" customFormat="1" ht="20.25" customHeight="1" x14ac:dyDescent="0.25">
      <c r="A301" s="101" t="s">
        <v>55</v>
      </c>
      <c r="N301" s="77"/>
      <c r="O301" s="3"/>
      <c r="Q301" s="41"/>
      <c r="R301" s="41"/>
      <c r="S301" s="41"/>
      <c r="T301" s="16"/>
      <c r="U301" s="17"/>
      <c r="V301" s="17"/>
      <c r="W301" s="17"/>
      <c r="X301" s="17"/>
      <c r="Z301" s="2"/>
      <c r="AA301" s="2"/>
      <c r="AB301" s="2"/>
      <c r="AD301" s="2"/>
      <c r="AE301" s="2"/>
      <c r="AF301" s="2"/>
      <c r="AG301" s="2"/>
      <c r="AT301" s="5"/>
      <c r="AW301" s="2"/>
      <c r="AX301" s="2"/>
      <c r="AY301" s="2"/>
      <c r="AZ301" s="2"/>
      <c r="BA301" s="2"/>
      <c r="BB301" s="2"/>
      <c r="BC301" s="2"/>
    </row>
    <row r="302" spans="1:55" s="1" customFormat="1" ht="20.25" customHeight="1" x14ac:dyDescent="0.25">
      <c r="A302" s="101" t="s">
        <v>55</v>
      </c>
      <c r="N302" s="77"/>
      <c r="O302" s="3"/>
      <c r="Q302" s="41"/>
      <c r="R302" s="41"/>
      <c r="S302" s="41"/>
      <c r="T302" s="40"/>
      <c r="U302" s="17"/>
      <c r="V302" s="17"/>
      <c r="W302" s="17"/>
      <c r="X302" s="17"/>
      <c r="Z302" s="2"/>
      <c r="AA302" s="2"/>
      <c r="AB302" s="2"/>
      <c r="AD302" s="2"/>
      <c r="AE302" s="2"/>
      <c r="AF302" s="2"/>
      <c r="AG302" s="2"/>
      <c r="AT302" s="5"/>
      <c r="AW302" s="2"/>
      <c r="AX302" s="2"/>
      <c r="AY302" s="2"/>
      <c r="AZ302" s="2"/>
      <c r="BA302" s="2"/>
      <c r="BB302" s="2"/>
      <c r="BC302" s="2"/>
    </row>
    <row r="303" spans="1:55" s="1" customFormat="1" ht="20.25" customHeight="1" x14ac:dyDescent="0.25">
      <c r="A303" s="101" t="s">
        <v>55</v>
      </c>
      <c r="N303" s="77"/>
      <c r="O303" s="3"/>
      <c r="Q303" s="41"/>
      <c r="R303" s="41"/>
      <c r="S303" s="41"/>
      <c r="T303" s="40"/>
      <c r="U303" s="17"/>
      <c r="V303" s="17"/>
      <c r="W303" s="17"/>
      <c r="X303" s="17"/>
      <c r="Z303" s="2"/>
      <c r="AA303" s="2"/>
      <c r="AB303" s="2"/>
      <c r="AD303" s="2"/>
      <c r="AE303" s="2"/>
      <c r="AF303" s="2"/>
      <c r="AG303" s="2"/>
      <c r="AT303" s="5"/>
      <c r="AW303" s="2"/>
      <c r="AX303" s="2"/>
      <c r="AY303" s="2"/>
      <c r="AZ303" s="2"/>
      <c r="BA303" s="2"/>
      <c r="BB303" s="2"/>
      <c r="BC303" s="2"/>
    </row>
    <row r="304" spans="1:55" s="1" customFormat="1" ht="20.25" customHeight="1" x14ac:dyDescent="0.25">
      <c r="A304" s="101" t="s">
        <v>55</v>
      </c>
      <c r="N304" s="77"/>
      <c r="O304" s="3"/>
      <c r="Q304" s="41"/>
      <c r="R304" s="41"/>
      <c r="S304" s="41"/>
      <c r="T304" s="40"/>
      <c r="U304" s="17"/>
      <c r="V304" s="17"/>
      <c r="W304" s="17"/>
      <c r="X304" s="17"/>
      <c r="Z304" s="2"/>
      <c r="AA304" s="2"/>
      <c r="AB304" s="2"/>
      <c r="AD304" s="2"/>
      <c r="AE304" s="2"/>
      <c r="AF304" s="2"/>
      <c r="AG304" s="2"/>
      <c r="AT304" s="5"/>
      <c r="AW304" s="2"/>
      <c r="AX304" s="2"/>
      <c r="AY304" s="2"/>
      <c r="AZ304" s="2"/>
      <c r="BA304" s="2"/>
      <c r="BB304" s="2"/>
      <c r="BC304" s="2"/>
    </row>
    <row r="305" spans="1:55" s="1" customFormat="1" ht="20.25" customHeight="1" x14ac:dyDescent="0.25">
      <c r="A305" s="101" t="s">
        <v>55</v>
      </c>
      <c r="N305" s="77"/>
      <c r="O305" s="3"/>
      <c r="Q305" s="41"/>
      <c r="R305" s="41"/>
      <c r="S305" s="41"/>
      <c r="T305" s="40"/>
      <c r="U305" s="17"/>
      <c r="V305" s="17"/>
      <c r="W305" s="17"/>
      <c r="X305" s="17"/>
      <c r="Z305" s="2"/>
      <c r="AA305" s="2"/>
      <c r="AB305" s="2"/>
      <c r="AD305" s="2"/>
      <c r="AE305" s="2"/>
      <c r="AF305" s="2"/>
      <c r="AG305" s="2"/>
      <c r="AT305" s="5"/>
      <c r="AW305" s="2"/>
      <c r="AX305" s="2"/>
      <c r="AY305" s="2"/>
      <c r="AZ305" s="2"/>
      <c r="BA305" s="2"/>
      <c r="BB305" s="2"/>
      <c r="BC305" s="2"/>
    </row>
    <row r="306" spans="1:55" s="1" customFormat="1" ht="20.25" customHeight="1" x14ac:dyDescent="0.25">
      <c r="A306" s="101" t="s">
        <v>55</v>
      </c>
      <c r="N306" s="77"/>
      <c r="O306" s="3"/>
      <c r="Q306" s="41"/>
      <c r="R306" s="41"/>
      <c r="S306" s="41"/>
      <c r="T306" s="16"/>
      <c r="U306" s="17"/>
      <c r="V306" s="17"/>
      <c r="W306" s="17"/>
      <c r="X306" s="17"/>
      <c r="Z306" s="2"/>
      <c r="AA306" s="2"/>
      <c r="AB306" s="2"/>
      <c r="AD306" s="2"/>
      <c r="AE306" s="2"/>
      <c r="AF306" s="2"/>
      <c r="AG306" s="2"/>
      <c r="AT306" s="5"/>
      <c r="AW306" s="2"/>
      <c r="AX306" s="2"/>
      <c r="AY306" s="2"/>
      <c r="AZ306" s="2"/>
      <c r="BA306" s="2"/>
      <c r="BB306" s="2"/>
      <c r="BC306" s="2"/>
    </row>
    <row r="307" spans="1:55" s="1" customFormat="1" ht="20.25" customHeight="1" x14ac:dyDescent="0.25">
      <c r="A307" s="101" t="s">
        <v>55</v>
      </c>
      <c r="N307" s="77"/>
      <c r="O307" s="3"/>
      <c r="Q307" s="41"/>
      <c r="R307" s="41"/>
      <c r="S307" s="41"/>
      <c r="T307" s="16"/>
      <c r="U307" s="17"/>
      <c r="V307" s="17"/>
      <c r="W307" s="17"/>
      <c r="X307" s="17"/>
      <c r="Z307" s="2"/>
      <c r="AA307" s="2"/>
      <c r="AB307" s="2"/>
      <c r="AD307" s="2"/>
      <c r="AE307" s="2"/>
      <c r="AF307" s="2"/>
      <c r="AG307" s="2"/>
      <c r="AT307" s="5"/>
      <c r="AW307" s="2"/>
      <c r="AX307" s="2"/>
      <c r="AY307" s="2"/>
      <c r="AZ307" s="2"/>
      <c r="BA307" s="2"/>
      <c r="BB307" s="2"/>
      <c r="BC307" s="2"/>
    </row>
    <row r="308" spans="1:55" s="1" customFormat="1" ht="20.25" customHeight="1" x14ac:dyDescent="0.25">
      <c r="A308" s="101" t="s">
        <v>55</v>
      </c>
      <c r="N308" s="77"/>
      <c r="O308" s="3"/>
      <c r="Q308" s="41"/>
      <c r="R308" s="41"/>
      <c r="S308" s="41"/>
      <c r="T308" s="40"/>
      <c r="U308" s="17"/>
      <c r="V308" s="17"/>
      <c r="W308" s="17"/>
      <c r="X308" s="17"/>
      <c r="Z308" s="2"/>
      <c r="AA308" s="2"/>
      <c r="AB308" s="2"/>
      <c r="AD308" s="2"/>
      <c r="AE308" s="2"/>
      <c r="AF308" s="2"/>
      <c r="AG308" s="2"/>
      <c r="AT308" s="5"/>
      <c r="AW308" s="2"/>
      <c r="AX308" s="2"/>
      <c r="AY308" s="2"/>
      <c r="AZ308" s="2"/>
      <c r="BA308" s="2"/>
      <c r="BB308" s="2"/>
      <c r="BC308" s="2"/>
    </row>
    <row r="309" spans="1:55" s="1" customFormat="1" ht="20.25" customHeight="1" x14ac:dyDescent="0.25">
      <c r="A309" s="101" t="s">
        <v>55</v>
      </c>
      <c r="N309" s="77"/>
      <c r="O309" s="3"/>
      <c r="Q309" s="41"/>
      <c r="R309" s="41"/>
      <c r="S309" s="41"/>
      <c r="T309" s="40"/>
      <c r="U309" s="17"/>
      <c r="V309" s="17"/>
      <c r="W309" s="17"/>
      <c r="X309" s="17"/>
      <c r="Z309" s="2"/>
      <c r="AA309" s="2"/>
      <c r="AB309" s="2"/>
      <c r="AD309" s="2"/>
      <c r="AE309" s="2"/>
      <c r="AF309" s="2"/>
      <c r="AG309" s="2"/>
      <c r="AT309" s="5"/>
      <c r="AW309" s="2"/>
      <c r="AX309" s="2"/>
      <c r="AY309" s="2"/>
      <c r="AZ309" s="2"/>
      <c r="BA309" s="2"/>
      <c r="BB309" s="2"/>
      <c r="BC309" s="2"/>
    </row>
    <row r="310" spans="1:55" s="1" customFormat="1" ht="20.25" customHeight="1" x14ac:dyDescent="0.25">
      <c r="A310" s="101" t="s">
        <v>55</v>
      </c>
      <c r="N310" s="77"/>
      <c r="O310" s="3"/>
      <c r="Q310" s="41"/>
      <c r="R310" s="41"/>
      <c r="S310" s="41"/>
      <c r="T310" s="40"/>
      <c r="U310" s="17"/>
      <c r="V310" s="17"/>
      <c r="W310" s="17"/>
      <c r="X310" s="17"/>
      <c r="Z310" s="2"/>
      <c r="AA310" s="2"/>
      <c r="AB310" s="2"/>
      <c r="AD310" s="2"/>
      <c r="AE310" s="2"/>
      <c r="AF310" s="2"/>
      <c r="AG310" s="2"/>
      <c r="AT310" s="5"/>
      <c r="AW310" s="2"/>
      <c r="AX310" s="2"/>
      <c r="AY310" s="2"/>
      <c r="AZ310" s="2"/>
      <c r="BA310" s="2"/>
      <c r="BB310" s="2"/>
      <c r="BC310" s="2"/>
    </row>
    <row r="311" spans="1:55" s="1" customFormat="1" ht="20.25" customHeight="1" x14ac:dyDescent="0.25">
      <c r="A311" s="101" t="s">
        <v>55</v>
      </c>
      <c r="N311" s="77"/>
      <c r="O311" s="3"/>
      <c r="Q311" s="41"/>
      <c r="R311" s="41"/>
      <c r="S311" s="41"/>
      <c r="T311" s="40"/>
      <c r="U311" s="17"/>
      <c r="V311" s="17"/>
      <c r="W311" s="17"/>
      <c r="X311" s="17"/>
      <c r="Z311" s="2"/>
      <c r="AA311" s="2"/>
      <c r="AB311" s="2"/>
      <c r="AD311" s="2"/>
      <c r="AE311" s="2"/>
      <c r="AF311" s="2"/>
      <c r="AG311" s="2"/>
      <c r="AT311" s="5"/>
      <c r="AW311" s="2"/>
      <c r="AX311" s="2"/>
      <c r="AY311" s="2"/>
      <c r="AZ311" s="2"/>
      <c r="BA311" s="2"/>
      <c r="BB311" s="2"/>
      <c r="BC311" s="2"/>
    </row>
    <row r="312" spans="1:55" s="1" customFormat="1" ht="20.25" customHeight="1" x14ac:dyDescent="0.25">
      <c r="A312" s="101" t="s">
        <v>55</v>
      </c>
      <c r="N312" s="77"/>
      <c r="O312" s="3"/>
      <c r="Q312" s="41"/>
      <c r="R312" s="41"/>
      <c r="S312" s="41"/>
      <c r="T312" s="16"/>
      <c r="U312" s="17"/>
      <c r="V312" s="17"/>
      <c r="W312" s="17"/>
      <c r="X312" s="17"/>
      <c r="Z312" s="2"/>
      <c r="AA312" s="2"/>
      <c r="AB312" s="2"/>
      <c r="AD312" s="2"/>
      <c r="AE312" s="2"/>
      <c r="AF312" s="2"/>
      <c r="AG312" s="2"/>
      <c r="AT312" s="5"/>
      <c r="AW312" s="2"/>
      <c r="AX312" s="2"/>
      <c r="AY312" s="2"/>
      <c r="AZ312" s="2"/>
      <c r="BA312" s="2"/>
      <c r="BB312" s="2"/>
      <c r="BC312" s="2"/>
    </row>
    <row r="313" spans="1:55" s="1" customFormat="1" ht="20.25" customHeight="1" x14ac:dyDescent="0.25">
      <c r="A313" s="101" t="s">
        <v>55</v>
      </c>
      <c r="N313" s="77"/>
      <c r="O313" s="3"/>
      <c r="Q313" s="41"/>
      <c r="R313" s="41"/>
      <c r="S313" s="41"/>
      <c r="T313" s="16"/>
      <c r="U313" s="17"/>
      <c r="V313" s="17"/>
      <c r="W313" s="17"/>
      <c r="X313" s="17"/>
      <c r="Z313" s="2"/>
      <c r="AA313" s="2"/>
      <c r="AB313" s="2"/>
      <c r="AD313" s="2"/>
      <c r="AE313" s="2"/>
      <c r="AF313" s="2"/>
      <c r="AG313" s="2"/>
      <c r="AT313" s="5"/>
      <c r="AW313" s="2"/>
      <c r="AX313" s="2"/>
      <c r="AY313" s="2"/>
      <c r="AZ313" s="2"/>
      <c r="BA313" s="2"/>
      <c r="BB313" s="2"/>
      <c r="BC313" s="2"/>
    </row>
    <row r="314" spans="1:55" s="1" customFormat="1" ht="20.25" customHeight="1" x14ac:dyDescent="0.25">
      <c r="A314" s="101" t="s">
        <v>55</v>
      </c>
      <c r="N314" s="77"/>
      <c r="O314" s="3"/>
      <c r="Q314" s="41"/>
      <c r="R314" s="41"/>
      <c r="S314" s="41"/>
      <c r="T314" s="40"/>
      <c r="U314" s="17"/>
      <c r="V314" s="17"/>
      <c r="W314" s="17"/>
      <c r="X314" s="17"/>
      <c r="Z314" s="2"/>
      <c r="AA314" s="2"/>
      <c r="AB314" s="2"/>
      <c r="AD314" s="2"/>
      <c r="AE314" s="2"/>
      <c r="AF314" s="2"/>
      <c r="AG314" s="2"/>
      <c r="AT314" s="5"/>
      <c r="AW314" s="2"/>
      <c r="AX314" s="2"/>
      <c r="AY314" s="2"/>
      <c r="AZ314" s="2"/>
      <c r="BA314" s="2"/>
      <c r="BB314" s="2"/>
      <c r="BC314" s="2"/>
    </row>
    <row r="315" spans="1:55" s="1" customFormat="1" ht="20.25" customHeight="1" x14ac:dyDescent="0.25">
      <c r="A315" s="101" t="s">
        <v>55</v>
      </c>
      <c r="N315" s="77"/>
      <c r="O315" s="3"/>
      <c r="Q315" s="41"/>
      <c r="R315" s="41"/>
      <c r="S315" s="41"/>
      <c r="T315" s="40"/>
      <c r="U315" s="17"/>
      <c r="V315" s="17"/>
      <c r="W315" s="17"/>
      <c r="X315" s="17"/>
      <c r="Z315" s="2"/>
      <c r="AA315" s="2"/>
      <c r="AB315" s="2"/>
      <c r="AD315" s="2"/>
      <c r="AE315" s="2"/>
      <c r="AF315" s="2"/>
      <c r="AG315" s="2"/>
      <c r="AT315" s="5"/>
      <c r="AW315" s="2"/>
      <c r="AX315" s="2"/>
      <c r="AY315" s="2"/>
      <c r="AZ315" s="2"/>
      <c r="BA315" s="2"/>
      <c r="BB315" s="2"/>
      <c r="BC315" s="2"/>
    </row>
    <row r="316" spans="1:55" s="1" customFormat="1" ht="20.25" customHeight="1" x14ac:dyDescent="0.25">
      <c r="A316" s="101" t="s">
        <v>55</v>
      </c>
      <c r="N316" s="77"/>
      <c r="O316" s="3"/>
      <c r="Q316" s="41"/>
      <c r="R316" s="41"/>
      <c r="S316" s="41"/>
      <c r="T316" s="40"/>
      <c r="U316" s="17"/>
      <c r="V316" s="17"/>
      <c r="W316" s="17"/>
      <c r="X316" s="17"/>
      <c r="Z316" s="2"/>
      <c r="AA316" s="2"/>
      <c r="AB316" s="2"/>
      <c r="AD316" s="2"/>
      <c r="AE316" s="2"/>
      <c r="AF316" s="2"/>
      <c r="AG316" s="2"/>
      <c r="AT316" s="5"/>
      <c r="AW316" s="2"/>
      <c r="AX316" s="2"/>
      <c r="AY316" s="2"/>
      <c r="AZ316" s="2"/>
      <c r="BA316" s="2"/>
      <c r="BB316" s="2"/>
      <c r="BC316" s="2"/>
    </row>
    <row r="317" spans="1:55" s="1" customFormat="1" ht="20.25" customHeight="1" x14ac:dyDescent="0.25">
      <c r="A317" s="101" t="s">
        <v>55</v>
      </c>
      <c r="N317" s="77"/>
      <c r="O317" s="3"/>
      <c r="Q317" s="41"/>
      <c r="R317" s="41"/>
      <c r="S317" s="41"/>
      <c r="T317" s="40"/>
      <c r="U317" s="17"/>
      <c r="V317" s="17"/>
      <c r="W317" s="17"/>
      <c r="X317" s="17"/>
      <c r="Z317" s="2"/>
      <c r="AA317" s="2"/>
      <c r="AB317" s="2"/>
      <c r="AD317" s="2"/>
      <c r="AE317" s="2"/>
      <c r="AF317" s="2"/>
      <c r="AG317" s="2"/>
      <c r="AT317" s="5"/>
      <c r="AW317" s="2"/>
      <c r="AX317" s="2"/>
      <c r="AY317" s="2"/>
      <c r="AZ317" s="2"/>
      <c r="BA317" s="2"/>
      <c r="BB317" s="2"/>
      <c r="BC317" s="2"/>
    </row>
    <row r="318" spans="1:55" s="1" customFormat="1" ht="20.25" customHeight="1" x14ac:dyDescent="0.25">
      <c r="A318" s="101" t="s">
        <v>55</v>
      </c>
      <c r="N318" s="77"/>
      <c r="O318" s="3"/>
      <c r="Q318" s="41"/>
      <c r="R318" s="41"/>
      <c r="S318" s="41"/>
      <c r="T318" s="16"/>
      <c r="U318" s="17"/>
      <c r="V318" s="17"/>
      <c r="W318" s="17"/>
      <c r="X318" s="17"/>
      <c r="Z318" s="2"/>
      <c r="AA318" s="2"/>
      <c r="AB318" s="2"/>
      <c r="AD318" s="2"/>
      <c r="AE318" s="2"/>
      <c r="AF318" s="2"/>
      <c r="AG318" s="2"/>
      <c r="AT318" s="5"/>
      <c r="AW318" s="2"/>
      <c r="AX318" s="2"/>
      <c r="AY318" s="2"/>
      <c r="AZ318" s="2"/>
      <c r="BA318" s="2"/>
      <c r="BB318" s="2"/>
      <c r="BC318" s="2"/>
    </row>
    <row r="319" spans="1:55" s="1" customFormat="1" ht="20.25" customHeight="1" x14ac:dyDescent="0.25">
      <c r="A319" s="101" t="s">
        <v>55</v>
      </c>
      <c r="N319" s="77"/>
      <c r="O319" s="3"/>
      <c r="Q319" s="41"/>
      <c r="R319" s="41"/>
      <c r="S319" s="41"/>
      <c r="T319" s="16"/>
      <c r="U319" s="17"/>
      <c r="V319" s="17"/>
      <c r="W319" s="17"/>
      <c r="X319" s="17"/>
      <c r="Z319" s="2"/>
      <c r="AA319" s="2"/>
      <c r="AB319" s="2"/>
      <c r="AD319" s="2"/>
      <c r="AE319" s="2"/>
      <c r="AF319" s="2"/>
      <c r="AG319" s="2"/>
      <c r="AT319" s="5"/>
      <c r="AW319" s="2"/>
      <c r="AX319" s="2"/>
      <c r="AY319" s="2"/>
      <c r="AZ319" s="2"/>
      <c r="BA319" s="2"/>
      <c r="BB319" s="2"/>
      <c r="BC319" s="2"/>
    </row>
    <row r="320" spans="1:55" s="1" customFormat="1" ht="20.25" customHeight="1" x14ac:dyDescent="0.25">
      <c r="A320" s="101" t="s">
        <v>55</v>
      </c>
      <c r="N320" s="77"/>
      <c r="O320" s="3"/>
      <c r="Q320" s="41"/>
      <c r="R320" s="41"/>
      <c r="S320" s="41"/>
      <c r="T320" s="40"/>
      <c r="U320" s="17"/>
      <c r="V320" s="17"/>
      <c r="W320" s="17"/>
      <c r="X320" s="17"/>
      <c r="Z320" s="2"/>
      <c r="AA320" s="2"/>
      <c r="AB320" s="2"/>
      <c r="AD320" s="2"/>
      <c r="AE320" s="2"/>
      <c r="AF320" s="2"/>
      <c r="AG320" s="2"/>
      <c r="AT320" s="5"/>
      <c r="AW320" s="2"/>
      <c r="AX320" s="2"/>
      <c r="AY320" s="2"/>
      <c r="AZ320" s="2"/>
      <c r="BA320" s="2"/>
      <c r="BB320" s="2"/>
      <c r="BC320" s="2"/>
    </row>
    <row r="321" spans="1:55" s="1" customFormat="1" ht="20.25" customHeight="1" x14ac:dyDescent="0.25">
      <c r="A321" s="101" t="s">
        <v>55</v>
      </c>
      <c r="N321" s="77"/>
      <c r="O321" s="3"/>
      <c r="Q321" s="41"/>
      <c r="R321" s="41"/>
      <c r="S321" s="41"/>
      <c r="T321" s="40"/>
      <c r="U321" s="17"/>
      <c r="V321" s="17"/>
      <c r="W321" s="17"/>
      <c r="X321" s="17"/>
      <c r="Z321" s="2"/>
      <c r="AA321" s="2"/>
      <c r="AB321" s="2"/>
      <c r="AD321" s="2"/>
      <c r="AE321" s="2"/>
      <c r="AF321" s="2"/>
      <c r="AG321" s="2"/>
      <c r="AT321" s="5"/>
      <c r="AW321" s="2"/>
      <c r="AX321" s="2"/>
      <c r="AY321" s="2"/>
      <c r="AZ321" s="2"/>
      <c r="BA321" s="2"/>
      <c r="BB321" s="2"/>
      <c r="BC321" s="2"/>
    </row>
    <row r="322" spans="1:55" s="1" customFormat="1" ht="20.25" customHeight="1" x14ac:dyDescent="0.25">
      <c r="A322" s="101" t="s">
        <v>55</v>
      </c>
      <c r="N322" s="77"/>
      <c r="O322" s="3"/>
      <c r="Q322" s="41"/>
      <c r="R322" s="41"/>
      <c r="S322" s="41"/>
      <c r="T322" s="40"/>
      <c r="U322" s="17"/>
      <c r="V322" s="17"/>
      <c r="W322" s="17"/>
      <c r="X322" s="17"/>
      <c r="Z322" s="2"/>
      <c r="AA322" s="2"/>
      <c r="AB322" s="2"/>
      <c r="AD322" s="2"/>
      <c r="AE322" s="2"/>
      <c r="AF322" s="2"/>
      <c r="AG322" s="2"/>
      <c r="AT322" s="5"/>
      <c r="AW322" s="2"/>
      <c r="AX322" s="2"/>
      <c r="AY322" s="2"/>
      <c r="AZ322" s="2"/>
      <c r="BA322" s="2"/>
      <c r="BB322" s="2"/>
      <c r="BC322" s="2"/>
    </row>
    <row r="323" spans="1:55" s="1" customFormat="1" ht="20.25" customHeight="1" x14ac:dyDescent="0.25">
      <c r="A323" s="101" t="s">
        <v>55</v>
      </c>
      <c r="N323" s="77"/>
      <c r="O323" s="3"/>
      <c r="Q323" s="41"/>
      <c r="R323" s="41"/>
      <c r="S323" s="41"/>
      <c r="T323" s="40"/>
      <c r="U323" s="17"/>
      <c r="V323" s="17"/>
      <c r="W323" s="17"/>
      <c r="X323" s="17"/>
      <c r="Z323" s="2"/>
      <c r="AA323" s="2"/>
      <c r="AB323" s="2"/>
      <c r="AD323" s="2"/>
      <c r="AE323" s="2"/>
      <c r="AF323" s="2"/>
      <c r="AG323" s="2"/>
      <c r="AT323" s="5"/>
      <c r="AW323" s="2"/>
      <c r="AX323" s="2"/>
      <c r="AY323" s="2"/>
      <c r="AZ323" s="2"/>
      <c r="BA323" s="2"/>
      <c r="BB323" s="2"/>
      <c r="BC323" s="2"/>
    </row>
    <row r="324" spans="1:55" s="1" customFormat="1" ht="20.25" customHeight="1" x14ac:dyDescent="0.25">
      <c r="A324" s="101" t="s">
        <v>55</v>
      </c>
      <c r="N324" s="77"/>
      <c r="O324" s="3"/>
      <c r="Q324" s="41"/>
      <c r="R324" s="41"/>
      <c r="S324" s="41"/>
      <c r="T324" s="16"/>
      <c r="U324" s="17"/>
      <c r="V324" s="17"/>
      <c r="W324" s="17"/>
      <c r="X324" s="17"/>
      <c r="Z324" s="2"/>
      <c r="AA324" s="2"/>
      <c r="AB324" s="2"/>
      <c r="AD324" s="2"/>
      <c r="AE324" s="2"/>
      <c r="AF324" s="2"/>
      <c r="AG324" s="2"/>
      <c r="AT324" s="5"/>
      <c r="AW324" s="2"/>
      <c r="AX324" s="2"/>
      <c r="AY324" s="2"/>
      <c r="AZ324" s="2"/>
      <c r="BA324" s="2"/>
      <c r="BB324" s="2"/>
      <c r="BC324" s="2"/>
    </row>
    <row r="325" spans="1:55" s="1" customFormat="1" ht="20.25" customHeight="1" x14ac:dyDescent="0.25">
      <c r="A325" s="101" t="s">
        <v>55</v>
      </c>
      <c r="N325" s="77"/>
      <c r="O325" s="3"/>
      <c r="Q325" s="41"/>
      <c r="R325" s="41"/>
      <c r="S325" s="41"/>
      <c r="T325" s="16"/>
      <c r="U325" s="17"/>
      <c r="V325" s="17"/>
      <c r="W325" s="17"/>
      <c r="X325" s="17"/>
      <c r="Z325" s="2"/>
      <c r="AA325" s="2"/>
      <c r="AB325" s="2"/>
      <c r="AD325" s="2"/>
      <c r="AE325" s="2"/>
      <c r="AF325" s="2"/>
      <c r="AG325" s="2"/>
      <c r="AT325" s="5"/>
      <c r="AW325" s="2"/>
      <c r="AX325" s="2"/>
      <c r="AY325" s="2"/>
      <c r="AZ325" s="2"/>
      <c r="BA325" s="2"/>
      <c r="BB325" s="2"/>
      <c r="BC325" s="2"/>
    </row>
    <row r="326" spans="1:55" s="1" customFormat="1" ht="20.25" customHeight="1" x14ac:dyDescent="0.25">
      <c r="A326" s="101" t="s">
        <v>55</v>
      </c>
      <c r="N326" s="77"/>
      <c r="O326" s="3"/>
      <c r="Q326" s="41"/>
      <c r="R326" s="41"/>
      <c r="S326" s="41"/>
      <c r="T326" s="40"/>
      <c r="U326" s="17"/>
      <c r="V326" s="17"/>
      <c r="W326" s="17"/>
      <c r="X326" s="17"/>
      <c r="Z326" s="2"/>
      <c r="AA326" s="2"/>
      <c r="AB326" s="2"/>
      <c r="AD326" s="2"/>
      <c r="AE326" s="2"/>
      <c r="AF326" s="2"/>
      <c r="AG326" s="2"/>
      <c r="AT326" s="5"/>
      <c r="AW326" s="2"/>
      <c r="AX326" s="2"/>
      <c r="AY326" s="2"/>
      <c r="AZ326" s="2"/>
      <c r="BA326" s="2"/>
      <c r="BB326" s="2"/>
      <c r="BC326" s="2"/>
    </row>
    <row r="327" spans="1:55" s="1" customFormat="1" ht="20.25" customHeight="1" x14ac:dyDescent="0.25">
      <c r="A327" s="101" t="s">
        <v>55</v>
      </c>
      <c r="N327" s="77"/>
      <c r="O327" s="3"/>
      <c r="Q327" s="41"/>
      <c r="R327" s="41"/>
      <c r="S327" s="41"/>
      <c r="T327" s="40"/>
      <c r="U327" s="17"/>
      <c r="V327" s="17"/>
      <c r="W327" s="17"/>
      <c r="X327" s="17"/>
      <c r="Z327" s="2"/>
      <c r="AA327" s="2"/>
      <c r="AB327" s="2"/>
      <c r="AD327" s="2"/>
      <c r="AE327" s="2"/>
      <c r="AF327" s="2"/>
      <c r="AG327" s="2"/>
      <c r="AT327" s="5"/>
      <c r="AW327" s="2"/>
      <c r="AX327" s="2"/>
      <c r="AY327" s="2"/>
      <c r="AZ327" s="2"/>
      <c r="BA327" s="2"/>
      <c r="BB327" s="2"/>
      <c r="BC327" s="2"/>
    </row>
    <row r="328" spans="1:55" s="1" customFormat="1" ht="20.25" customHeight="1" x14ac:dyDescent="0.25">
      <c r="A328" s="101" t="s">
        <v>55</v>
      </c>
      <c r="N328" s="77"/>
      <c r="O328" s="3"/>
      <c r="Q328" s="41"/>
      <c r="R328" s="41"/>
      <c r="S328" s="41"/>
      <c r="T328" s="40"/>
      <c r="U328" s="17"/>
      <c r="V328" s="17"/>
      <c r="W328" s="17"/>
      <c r="X328" s="17"/>
      <c r="Z328" s="2"/>
      <c r="AA328" s="2"/>
      <c r="AB328" s="2"/>
      <c r="AD328" s="2"/>
      <c r="AE328" s="2"/>
      <c r="AF328" s="2"/>
      <c r="AG328" s="2"/>
      <c r="AT328" s="5"/>
      <c r="AW328" s="2"/>
      <c r="AX328" s="2"/>
      <c r="AY328" s="2"/>
      <c r="AZ328" s="2"/>
      <c r="BA328" s="2"/>
      <c r="BB328" s="2"/>
      <c r="BC328" s="2"/>
    </row>
    <row r="329" spans="1:55" s="1" customFormat="1" ht="20.25" customHeight="1" x14ac:dyDescent="0.25">
      <c r="A329" s="101" t="s">
        <v>55</v>
      </c>
      <c r="N329" s="77"/>
      <c r="O329" s="3"/>
      <c r="Q329" s="41"/>
      <c r="R329" s="41"/>
      <c r="S329" s="41"/>
      <c r="T329" s="40"/>
      <c r="U329" s="17"/>
      <c r="V329" s="17"/>
      <c r="W329" s="17"/>
      <c r="X329" s="17"/>
      <c r="Z329" s="2"/>
      <c r="AA329" s="2"/>
      <c r="AB329" s="2"/>
      <c r="AD329" s="2"/>
      <c r="AE329" s="2"/>
      <c r="AF329" s="2"/>
      <c r="AG329" s="2"/>
      <c r="AT329" s="5"/>
      <c r="AW329" s="2"/>
      <c r="AX329" s="2"/>
      <c r="AY329" s="2"/>
      <c r="AZ329" s="2"/>
      <c r="BA329" s="2"/>
      <c r="BB329" s="2"/>
      <c r="BC329" s="2"/>
    </row>
    <row r="330" spans="1:55" s="1" customFormat="1" ht="20.25" customHeight="1" x14ac:dyDescent="0.25">
      <c r="A330" s="101" t="s">
        <v>55</v>
      </c>
      <c r="N330" s="77"/>
      <c r="O330" s="3"/>
      <c r="Q330" s="41"/>
      <c r="R330" s="41"/>
      <c r="S330" s="41"/>
      <c r="T330" s="16"/>
      <c r="U330" s="17"/>
      <c r="V330" s="17"/>
      <c r="W330" s="17"/>
      <c r="X330" s="17"/>
      <c r="Z330" s="2"/>
      <c r="AA330" s="2"/>
      <c r="AB330" s="2"/>
      <c r="AD330" s="2"/>
      <c r="AE330" s="2"/>
      <c r="AF330" s="2"/>
      <c r="AG330" s="2"/>
      <c r="AT330" s="5"/>
      <c r="AW330" s="2"/>
      <c r="AX330" s="2"/>
      <c r="AY330" s="2"/>
      <c r="AZ330" s="2"/>
      <c r="BA330" s="2"/>
      <c r="BB330" s="2"/>
      <c r="BC330" s="2"/>
    </row>
    <row r="331" spans="1:55" s="1" customFormat="1" ht="20.25" customHeight="1" x14ac:dyDescent="0.25">
      <c r="A331" s="101" t="s">
        <v>55</v>
      </c>
      <c r="N331" s="77"/>
      <c r="O331" s="3"/>
      <c r="Q331" s="41"/>
      <c r="R331" s="41"/>
      <c r="S331" s="41"/>
      <c r="T331" s="16"/>
      <c r="U331" s="17"/>
      <c r="V331" s="17"/>
      <c r="W331" s="17"/>
      <c r="X331" s="17"/>
      <c r="Z331" s="2"/>
      <c r="AA331" s="2"/>
      <c r="AB331" s="2"/>
      <c r="AD331" s="2"/>
      <c r="AE331" s="2"/>
      <c r="AF331" s="2"/>
      <c r="AG331" s="2"/>
      <c r="AT331" s="5"/>
      <c r="AW331" s="2"/>
      <c r="AX331" s="2"/>
      <c r="AY331" s="2"/>
      <c r="AZ331" s="2"/>
      <c r="BA331" s="2"/>
      <c r="BB331" s="2"/>
      <c r="BC331" s="2"/>
    </row>
    <row r="332" spans="1:55" s="1" customFormat="1" ht="20.25" customHeight="1" x14ac:dyDescent="0.25">
      <c r="A332" s="101" t="s">
        <v>55</v>
      </c>
      <c r="N332" s="77"/>
      <c r="O332" s="3"/>
      <c r="Q332" s="41"/>
      <c r="R332" s="41"/>
      <c r="S332" s="41"/>
      <c r="T332" s="40"/>
      <c r="U332" s="17"/>
      <c r="V332" s="17"/>
      <c r="W332" s="17"/>
      <c r="X332" s="17"/>
      <c r="Z332" s="2"/>
      <c r="AA332" s="2"/>
      <c r="AB332" s="2"/>
      <c r="AD332" s="2"/>
      <c r="AE332" s="2"/>
      <c r="AF332" s="2"/>
      <c r="AG332" s="2"/>
      <c r="AT332" s="5"/>
      <c r="AW332" s="2"/>
      <c r="AX332" s="2"/>
      <c r="AY332" s="2"/>
      <c r="AZ332" s="2"/>
      <c r="BA332" s="2"/>
      <c r="BB332" s="2"/>
      <c r="BC332" s="2"/>
    </row>
    <row r="333" spans="1:55" s="1" customFormat="1" ht="20.25" customHeight="1" x14ac:dyDescent="0.25">
      <c r="A333" s="101" t="s">
        <v>55</v>
      </c>
      <c r="N333" s="77"/>
      <c r="O333" s="3"/>
      <c r="Q333" s="41"/>
      <c r="R333" s="41"/>
      <c r="S333" s="41"/>
      <c r="T333" s="40"/>
      <c r="U333" s="17"/>
      <c r="V333" s="17"/>
      <c r="W333" s="17"/>
      <c r="X333" s="17"/>
      <c r="Z333" s="2"/>
      <c r="AA333" s="2"/>
      <c r="AB333" s="2"/>
      <c r="AD333" s="2"/>
      <c r="AE333" s="2"/>
      <c r="AF333" s="2"/>
      <c r="AG333" s="2"/>
      <c r="AT333" s="5"/>
      <c r="AW333" s="2"/>
      <c r="AX333" s="2"/>
      <c r="AY333" s="2"/>
      <c r="AZ333" s="2"/>
      <c r="BA333" s="2"/>
      <c r="BB333" s="2"/>
      <c r="BC333" s="2"/>
    </row>
    <row r="334" spans="1:55" s="1" customFormat="1" ht="20.25" customHeight="1" x14ac:dyDescent="0.25">
      <c r="A334" s="101" t="s">
        <v>55</v>
      </c>
      <c r="N334" s="77"/>
      <c r="O334" s="3"/>
      <c r="Q334" s="41"/>
      <c r="R334" s="41"/>
      <c r="S334" s="41"/>
      <c r="T334" s="40"/>
      <c r="U334" s="17"/>
      <c r="V334" s="17"/>
      <c r="W334" s="17"/>
      <c r="X334" s="17"/>
      <c r="Z334" s="2"/>
      <c r="AA334" s="2"/>
      <c r="AB334" s="2"/>
      <c r="AD334" s="2"/>
      <c r="AE334" s="2"/>
      <c r="AF334" s="2"/>
      <c r="AG334" s="2"/>
      <c r="AT334" s="5"/>
      <c r="AW334" s="2"/>
      <c r="AX334" s="2"/>
      <c r="AY334" s="2"/>
      <c r="AZ334" s="2"/>
      <c r="BA334" s="2"/>
      <c r="BB334" s="2"/>
      <c r="BC334" s="2"/>
    </row>
    <row r="335" spans="1:55" s="1" customFormat="1" ht="20.25" customHeight="1" x14ac:dyDescent="0.25">
      <c r="A335" s="101" t="s">
        <v>55</v>
      </c>
      <c r="N335" s="77"/>
      <c r="O335" s="3"/>
      <c r="Q335" s="41"/>
      <c r="R335" s="41"/>
      <c r="S335" s="41"/>
      <c r="T335" s="40"/>
      <c r="U335" s="17"/>
      <c r="V335" s="17"/>
      <c r="W335" s="17"/>
      <c r="X335" s="17"/>
      <c r="Z335" s="2"/>
      <c r="AA335" s="2"/>
      <c r="AB335" s="2"/>
      <c r="AD335" s="2"/>
      <c r="AE335" s="2"/>
      <c r="AF335" s="2"/>
      <c r="AG335" s="2"/>
      <c r="AT335" s="5"/>
      <c r="AW335" s="2"/>
      <c r="AX335" s="2"/>
      <c r="AY335" s="2"/>
      <c r="AZ335" s="2"/>
      <c r="BA335" s="2"/>
      <c r="BB335" s="2"/>
      <c r="BC335" s="2"/>
    </row>
    <row r="336" spans="1:55" s="1" customFormat="1" ht="20.25" customHeight="1" x14ac:dyDescent="0.25">
      <c r="A336" s="101" t="s">
        <v>55</v>
      </c>
      <c r="N336" s="77"/>
      <c r="O336" s="3"/>
      <c r="Q336" s="41"/>
      <c r="R336" s="41"/>
      <c r="S336" s="41"/>
      <c r="T336" s="16"/>
      <c r="U336" s="17"/>
      <c r="V336" s="17"/>
      <c r="W336" s="17"/>
      <c r="X336" s="17"/>
      <c r="Z336" s="2"/>
      <c r="AA336" s="2"/>
      <c r="AB336" s="2"/>
      <c r="AD336" s="2"/>
      <c r="AE336" s="2"/>
      <c r="AF336" s="2"/>
      <c r="AG336" s="2"/>
      <c r="AT336" s="5"/>
      <c r="AW336" s="2"/>
      <c r="AX336" s="2"/>
      <c r="AY336" s="2"/>
      <c r="AZ336" s="2"/>
      <c r="BA336" s="2"/>
      <c r="BB336" s="2"/>
      <c r="BC336" s="2"/>
    </row>
    <row r="337" spans="1:55" s="1" customFormat="1" ht="20.25" customHeight="1" x14ac:dyDescent="0.25">
      <c r="A337" s="101" t="s">
        <v>55</v>
      </c>
      <c r="N337" s="77"/>
      <c r="O337" s="3"/>
      <c r="Q337" s="41"/>
      <c r="R337" s="41"/>
      <c r="S337" s="41"/>
      <c r="T337" s="16"/>
      <c r="U337" s="17"/>
      <c r="V337" s="17"/>
      <c r="W337" s="17"/>
      <c r="X337" s="17"/>
      <c r="Z337" s="2"/>
      <c r="AA337" s="2"/>
      <c r="AB337" s="2"/>
      <c r="AD337" s="2"/>
      <c r="AE337" s="2"/>
      <c r="AF337" s="2"/>
      <c r="AG337" s="2"/>
      <c r="AT337" s="5"/>
      <c r="AW337" s="2"/>
      <c r="AX337" s="2"/>
      <c r="AY337" s="2"/>
      <c r="AZ337" s="2"/>
      <c r="BA337" s="2"/>
      <c r="BB337" s="2"/>
      <c r="BC337" s="2"/>
    </row>
    <row r="338" spans="1:55" s="1" customFormat="1" ht="20.25" customHeight="1" x14ac:dyDescent="0.25">
      <c r="A338" s="101" t="s">
        <v>55</v>
      </c>
      <c r="N338" s="77"/>
      <c r="O338" s="3"/>
      <c r="Q338" s="41"/>
      <c r="R338" s="41"/>
      <c r="S338" s="41"/>
      <c r="T338" s="40"/>
      <c r="U338" s="17"/>
      <c r="V338" s="17"/>
      <c r="W338" s="17"/>
      <c r="X338" s="17"/>
      <c r="Z338" s="2"/>
      <c r="AA338" s="2"/>
      <c r="AB338" s="2"/>
      <c r="AD338" s="2"/>
      <c r="AE338" s="2"/>
      <c r="AF338" s="2"/>
      <c r="AG338" s="2"/>
      <c r="AT338" s="5"/>
      <c r="AW338" s="2"/>
      <c r="AX338" s="2"/>
      <c r="AY338" s="2"/>
      <c r="AZ338" s="2"/>
      <c r="BA338" s="2"/>
      <c r="BB338" s="2"/>
      <c r="BC338" s="2"/>
    </row>
    <row r="339" spans="1:55" s="1" customFormat="1" ht="20.25" customHeight="1" x14ac:dyDescent="0.25">
      <c r="A339" s="101" t="s">
        <v>55</v>
      </c>
      <c r="N339" s="77"/>
      <c r="O339" s="3"/>
      <c r="Q339" s="41"/>
      <c r="R339" s="41"/>
      <c r="S339" s="41"/>
      <c r="T339" s="40"/>
      <c r="U339" s="17"/>
      <c r="V339" s="17"/>
      <c r="W339" s="17"/>
      <c r="X339" s="17"/>
      <c r="Z339" s="2"/>
      <c r="AA339" s="2"/>
      <c r="AB339" s="2"/>
      <c r="AD339" s="2"/>
      <c r="AE339" s="2"/>
      <c r="AF339" s="2"/>
      <c r="AG339" s="2"/>
      <c r="AT339" s="5"/>
      <c r="AW339" s="2"/>
      <c r="AX339" s="2"/>
      <c r="AY339" s="2"/>
      <c r="AZ339" s="2"/>
      <c r="BA339" s="2"/>
      <c r="BB339" s="2"/>
      <c r="BC339" s="2"/>
    </row>
    <row r="340" spans="1:55" s="1" customFormat="1" ht="20.25" customHeight="1" x14ac:dyDescent="0.25">
      <c r="A340" s="101" t="s">
        <v>55</v>
      </c>
      <c r="N340" s="77"/>
      <c r="O340" s="3"/>
      <c r="Q340" s="41"/>
      <c r="R340" s="41"/>
      <c r="S340" s="41"/>
      <c r="T340" s="40"/>
      <c r="U340" s="17"/>
      <c r="V340" s="17"/>
      <c r="W340" s="17"/>
      <c r="X340" s="17"/>
      <c r="Z340" s="2"/>
      <c r="AA340" s="2"/>
      <c r="AB340" s="2"/>
      <c r="AD340" s="2"/>
      <c r="AE340" s="2"/>
      <c r="AF340" s="2"/>
      <c r="AG340" s="2"/>
      <c r="AH340" s="2"/>
      <c r="AT340" s="5"/>
      <c r="AW340" s="2"/>
      <c r="AX340" s="2"/>
      <c r="AY340" s="2"/>
      <c r="AZ340" s="2"/>
      <c r="BA340" s="2"/>
      <c r="BB340" s="2"/>
      <c r="BC340" s="2"/>
    </row>
    <row r="341" spans="1:55" s="1" customFormat="1" ht="20.25" customHeight="1" x14ac:dyDescent="0.25">
      <c r="A341" s="101" t="s">
        <v>55</v>
      </c>
      <c r="N341" s="77"/>
      <c r="O341" s="3"/>
      <c r="Q341" s="41"/>
      <c r="R341" s="41"/>
      <c r="S341" s="41"/>
      <c r="T341" s="40"/>
      <c r="U341" s="17"/>
      <c r="V341" s="17"/>
      <c r="W341" s="17"/>
      <c r="X341" s="17"/>
      <c r="Z341" s="2"/>
      <c r="AA341" s="2"/>
      <c r="AB341" s="2"/>
      <c r="AD341" s="2"/>
      <c r="AE341" s="2"/>
      <c r="AF341" s="2"/>
      <c r="AG341" s="2"/>
      <c r="AH341" s="2"/>
      <c r="AT341" s="5"/>
      <c r="AW341" s="2"/>
      <c r="AX341" s="2"/>
      <c r="AY341" s="2"/>
      <c r="AZ341" s="2"/>
      <c r="BA341" s="2"/>
      <c r="BB341" s="2"/>
      <c r="BC341" s="2"/>
    </row>
    <row r="342" spans="1:55" s="1" customFormat="1" ht="20.25" customHeight="1" x14ac:dyDescent="0.25">
      <c r="A342" s="101" t="s">
        <v>55</v>
      </c>
      <c r="N342" s="77"/>
      <c r="O342" s="3"/>
      <c r="Q342" s="41"/>
      <c r="R342" s="41"/>
      <c r="S342" s="41"/>
      <c r="T342" s="16"/>
      <c r="U342" s="17"/>
      <c r="V342" s="17"/>
      <c r="W342" s="17"/>
      <c r="X342" s="17"/>
      <c r="Z342" s="2"/>
      <c r="AA342" s="2"/>
      <c r="AB342" s="2"/>
      <c r="AD342" s="2"/>
      <c r="AE342" s="2"/>
      <c r="AF342" s="2"/>
      <c r="AG342" s="2"/>
      <c r="AH342" s="2"/>
      <c r="AT342" s="5"/>
      <c r="AW342" s="2"/>
      <c r="AX342" s="2"/>
      <c r="AY342" s="2"/>
      <c r="AZ342" s="2"/>
      <c r="BA342" s="2"/>
      <c r="BB342" s="2"/>
      <c r="BC342" s="2"/>
    </row>
    <row r="343" spans="1:55" s="1" customFormat="1" ht="20.25" customHeight="1" x14ac:dyDescent="0.25">
      <c r="A343" s="101" t="s">
        <v>55</v>
      </c>
      <c r="N343" s="77"/>
      <c r="O343" s="3"/>
      <c r="Q343" s="41"/>
      <c r="R343" s="41"/>
      <c r="S343" s="41"/>
      <c r="T343" s="16"/>
      <c r="U343" s="17"/>
      <c r="V343" s="17"/>
      <c r="W343" s="17"/>
      <c r="X343" s="17"/>
      <c r="Z343" s="2"/>
      <c r="AA343" s="2"/>
      <c r="AB343" s="2"/>
      <c r="AD343" s="2"/>
      <c r="AE343" s="2"/>
      <c r="AF343" s="2"/>
      <c r="AG343" s="2"/>
      <c r="AH343" s="2"/>
      <c r="AT343" s="5"/>
      <c r="AW343" s="2"/>
      <c r="AX343" s="2"/>
      <c r="AY343" s="2"/>
      <c r="AZ343" s="2"/>
      <c r="BA343" s="2"/>
      <c r="BB343" s="2"/>
      <c r="BC343" s="2"/>
    </row>
    <row r="344" spans="1:55" s="1" customFormat="1" ht="20.25" customHeight="1" x14ac:dyDescent="0.25">
      <c r="A344" s="101" t="s">
        <v>55</v>
      </c>
      <c r="N344" s="77"/>
      <c r="O344" s="3"/>
      <c r="Q344" s="41"/>
      <c r="R344" s="41"/>
      <c r="S344" s="41"/>
      <c r="T344" s="40"/>
      <c r="U344" s="17"/>
      <c r="V344" s="17"/>
      <c r="W344" s="17"/>
      <c r="X344" s="17"/>
      <c r="Z344" s="2"/>
      <c r="AA344" s="2"/>
      <c r="AB344" s="2"/>
      <c r="AD344" s="2"/>
      <c r="AE344" s="2"/>
      <c r="AF344" s="2"/>
      <c r="AG344" s="2"/>
      <c r="AH344" s="2"/>
      <c r="AT344" s="5"/>
      <c r="AW344" s="2"/>
      <c r="AX344" s="2"/>
      <c r="AY344" s="2"/>
      <c r="AZ344" s="2"/>
      <c r="BA344" s="2"/>
      <c r="BB344" s="2"/>
      <c r="BC344" s="2"/>
    </row>
    <row r="345" spans="1:55" s="1" customFormat="1" ht="20.25" customHeight="1" x14ac:dyDescent="0.25">
      <c r="A345" s="101" t="s">
        <v>55</v>
      </c>
      <c r="N345" s="77"/>
      <c r="O345" s="3"/>
      <c r="Q345" s="41"/>
      <c r="R345" s="41"/>
      <c r="S345" s="41"/>
      <c r="T345" s="40"/>
      <c r="U345" s="17"/>
      <c r="V345" s="17"/>
      <c r="W345" s="17"/>
      <c r="X345" s="17"/>
      <c r="Z345" s="2"/>
      <c r="AA345" s="2"/>
      <c r="AB345" s="2"/>
      <c r="AD345" s="2"/>
      <c r="AE345" s="2"/>
      <c r="AF345" s="2"/>
      <c r="AG345" s="2"/>
      <c r="AH345" s="2"/>
      <c r="AT345" s="5"/>
      <c r="AW345" s="2"/>
      <c r="AX345" s="2"/>
      <c r="AY345" s="2"/>
      <c r="AZ345" s="2"/>
      <c r="BA345" s="2"/>
      <c r="BB345" s="2"/>
      <c r="BC345" s="2"/>
    </row>
    <row r="346" spans="1:55" s="1" customFormat="1" ht="20.25" customHeight="1" x14ac:dyDescent="0.25">
      <c r="A346" s="101" t="s">
        <v>55</v>
      </c>
      <c r="N346" s="77"/>
      <c r="O346" s="3"/>
      <c r="Q346" s="41"/>
      <c r="R346" s="41"/>
      <c r="S346" s="41"/>
      <c r="T346" s="40"/>
      <c r="U346" s="17"/>
      <c r="V346" s="17"/>
      <c r="W346" s="17"/>
      <c r="X346" s="17"/>
      <c r="Z346" s="2"/>
      <c r="AA346" s="2"/>
      <c r="AB346" s="2"/>
      <c r="AD346" s="2"/>
      <c r="AE346" s="2"/>
      <c r="AF346" s="2"/>
      <c r="AG346" s="2"/>
      <c r="AH346" s="2"/>
      <c r="AT346" s="5"/>
      <c r="AW346" s="2"/>
      <c r="AX346" s="2"/>
      <c r="AY346" s="2"/>
      <c r="AZ346" s="2"/>
      <c r="BA346" s="2"/>
      <c r="BB346" s="2"/>
      <c r="BC346" s="2"/>
    </row>
    <row r="347" spans="1:55" s="1" customFormat="1" ht="20.25" customHeight="1" x14ac:dyDescent="0.25">
      <c r="A347" s="101" t="s">
        <v>55</v>
      </c>
      <c r="N347" s="77"/>
      <c r="O347" s="3"/>
      <c r="Q347" s="41"/>
      <c r="R347" s="41"/>
      <c r="S347" s="41"/>
      <c r="T347" s="40"/>
      <c r="U347" s="17"/>
      <c r="V347" s="17"/>
      <c r="W347" s="17"/>
      <c r="X347" s="17"/>
      <c r="Z347" s="2"/>
      <c r="AA347" s="2"/>
      <c r="AB347" s="2"/>
      <c r="AD347" s="2"/>
      <c r="AE347" s="2"/>
      <c r="AF347" s="2"/>
      <c r="AG347" s="2"/>
      <c r="AH347" s="2"/>
      <c r="AT347" s="5"/>
      <c r="AW347" s="2"/>
      <c r="AX347" s="2"/>
      <c r="AY347" s="2"/>
      <c r="AZ347" s="2"/>
      <c r="BA347" s="2"/>
      <c r="BB347" s="2"/>
      <c r="BC347" s="2"/>
    </row>
    <row r="348" spans="1:55" s="1" customFormat="1" ht="20.25" customHeight="1" x14ac:dyDescent="0.25">
      <c r="A348" s="101" t="s">
        <v>55</v>
      </c>
      <c r="N348" s="77"/>
      <c r="O348" s="3"/>
      <c r="Q348" s="41"/>
      <c r="R348" s="41"/>
      <c r="S348" s="41"/>
      <c r="T348" s="16"/>
      <c r="U348" s="17"/>
      <c r="V348" s="17"/>
      <c r="W348" s="17"/>
      <c r="X348" s="17"/>
      <c r="Z348" s="2"/>
      <c r="AA348" s="2"/>
      <c r="AB348" s="2"/>
      <c r="AD348" s="2"/>
      <c r="AE348" s="2"/>
      <c r="AF348" s="2"/>
      <c r="AG348" s="2"/>
      <c r="AH348" s="2"/>
      <c r="AT348" s="5"/>
      <c r="AW348" s="2"/>
      <c r="AX348" s="2"/>
      <c r="AY348" s="2"/>
      <c r="AZ348" s="2"/>
      <c r="BA348" s="2"/>
      <c r="BB348" s="2"/>
      <c r="BC348" s="2"/>
    </row>
    <row r="349" spans="1:55" s="1" customFormat="1" ht="20.25" customHeight="1" x14ac:dyDescent="0.25">
      <c r="A349" s="101" t="s">
        <v>55</v>
      </c>
      <c r="N349" s="77"/>
      <c r="O349" s="3"/>
      <c r="Q349" s="41"/>
      <c r="R349" s="41"/>
      <c r="S349" s="41"/>
      <c r="T349" s="16"/>
      <c r="U349" s="17"/>
      <c r="V349" s="17"/>
      <c r="W349" s="17"/>
      <c r="X349" s="17"/>
      <c r="Z349" s="2"/>
      <c r="AA349" s="2"/>
      <c r="AB349" s="2"/>
      <c r="AD349" s="2"/>
      <c r="AE349" s="2"/>
      <c r="AF349" s="2"/>
      <c r="AG349" s="2"/>
      <c r="AH349" s="2"/>
      <c r="AT349" s="5"/>
      <c r="AW349" s="2"/>
      <c r="AX349" s="2"/>
      <c r="AY349" s="2"/>
      <c r="AZ349" s="2"/>
      <c r="BA349" s="2"/>
      <c r="BB349" s="2"/>
      <c r="BC349" s="2"/>
    </row>
    <row r="350" spans="1:55" s="1" customFormat="1" ht="20.25" customHeight="1" x14ac:dyDescent="0.25">
      <c r="A350" s="101" t="s">
        <v>55</v>
      </c>
      <c r="N350" s="77"/>
      <c r="O350" s="3"/>
      <c r="Q350" s="41"/>
      <c r="R350" s="41"/>
      <c r="S350" s="41"/>
      <c r="T350" s="40"/>
      <c r="U350" s="17"/>
      <c r="V350" s="17"/>
      <c r="W350" s="17"/>
      <c r="X350" s="17"/>
      <c r="Z350" s="2"/>
      <c r="AA350" s="2"/>
      <c r="AB350" s="2"/>
      <c r="AD350" s="2"/>
      <c r="AE350" s="2"/>
      <c r="AF350" s="2"/>
      <c r="AG350" s="2"/>
      <c r="AH350" s="2"/>
      <c r="AT350" s="5"/>
      <c r="AW350" s="2"/>
      <c r="AX350" s="2"/>
      <c r="AY350" s="2"/>
      <c r="AZ350" s="2"/>
      <c r="BA350" s="2"/>
      <c r="BB350" s="2"/>
      <c r="BC350" s="2"/>
    </row>
    <row r="351" spans="1:55" s="1" customFormat="1" ht="20.25" customHeight="1" x14ac:dyDescent="0.25">
      <c r="A351" s="101" t="s">
        <v>55</v>
      </c>
      <c r="N351" s="77"/>
      <c r="O351" s="3"/>
      <c r="Q351" s="41"/>
      <c r="R351" s="41"/>
      <c r="S351" s="41"/>
      <c r="T351" s="40"/>
      <c r="U351" s="17"/>
      <c r="V351" s="17"/>
      <c r="W351" s="17"/>
      <c r="X351" s="17"/>
      <c r="Z351" s="2"/>
      <c r="AA351" s="2"/>
      <c r="AB351" s="2"/>
      <c r="AD351" s="2"/>
      <c r="AE351" s="2"/>
      <c r="AF351" s="2"/>
      <c r="AG351" s="2"/>
      <c r="AH351" s="2"/>
      <c r="AT351" s="5"/>
      <c r="AW351" s="2"/>
      <c r="AX351" s="2"/>
      <c r="AY351" s="2"/>
      <c r="AZ351" s="2"/>
      <c r="BA351" s="2"/>
      <c r="BB351" s="2"/>
      <c r="BC351" s="2"/>
    </row>
    <row r="352" spans="1:55" s="1" customFormat="1" ht="20.25" customHeight="1" x14ac:dyDescent="0.25">
      <c r="A352" s="101" t="s">
        <v>55</v>
      </c>
      <c r="N352" s="77"/>
      <c r="O352" s="3"/>
      <c r="Q352" s="41"/>
      <c r="R352" s="41"/>
      <c r="S352" s="41"/>
      <c r="T352" s="40"/>
      <c r="U352" s="17"/>
      <c r="V352" s="17"/>
      <c r="W352" s="17"/>
      <c r="X352" s="17"/>
      <c r="Z352" s="2"/>
      <c r="AA352" s="2"/>
      <c r="AB352" s="2"/>
      <c r="AD352" s="2"/>
      <c r="AE352" s="2"/>
      <c r="AF352" s="2"/>
      <c r="AG352" s="2"/>
      <c r="AH352" s="2"/>
      <c r="AT352" s="5"/>
      <c r="AW352" s="2"/>
      <c r="AX352" s="2"/>
      <c r="AY352" s="2"/>
      <c r="AZ352" s="2"/>
      <c r="BA352" s="2"/>
      <c r="BB352" s="2"/>
      <c r="BC352" s="2"/>
    </row>
    <row r="353" spans="1:55" s="1" customFormat="1" ht="20.25" customHeight="1" x14ac:dyDescent="0.25">
      <c r="A353" s="101" t="s">
        <v>55</v>
      </c>
      <c r="N353" s="77"/>
      <c r="O353" s="3"/>
      <c r="Q353" s="41"/>
      <c r="R353" s="41"/>
      <c r="S353" s="41"/>
      <c r="T353" s="40"/>
      <c r="U353" s="17"/>
      <c r="V353" s="17"/>
      <c r="W353" s="17"/>
      <c r="X353" s="17"/>
      <c r="Z353" s="2"/>
      <c r="AA353" s="2"/>
      <c r="AB353" s="2"/>
      <c r="AD353" s="2"/>
      <c r="AE353" s="2"/>
      <c r="AF353" s="2"/>
      <c r="AG353" s="2"/>
      <c r="AH353" s="2"/>
      <c r="AT353" s="5"/>
      <c r="AW353" s="2"/>
      <c r="AX353" s="2"/>
      <c r="AY353" s="2"/>
      <c r="AZ353" s="2"/>
      <c r="BA353" s="2"/>
      <c r="BB353" s="2"/>
      <c r="BC353" s="2"/>
    </row>
    <row r="354" spans="1:55" s="1" customFormat="1" ht="20.25" customHeight="1" x14ac:dyDescent="0.25">
      <c r="A354" s="101" t="s">
        <v>55</v>
      </c>
      <c r="N354" s="77"/>
      <c r="O354" s="3"/>
      <c r="Q354" s="41"/>
      <c r="R354" s="41"/>
      <c r="S354" s="41"/>
      <c r="T354" s="16"/>
      <c r="U354" s="17"/>
      <c r="V354" s="17"/>
      <c r="W354" s="17"/>
      <c r="X354" s="17"/>
      <c r="Z354" s="2"/>
      <c r="AA354" s="2"/>
      <c r="AB354" s="2"/>
      <c r="AD354" s="2"/>
      <c r="AE354" s="2"/>
      <c r="AF354" s="2"/>
      <c r="AG354" s="2"/>
      <c r="AH354" s="2"/>
      <c r="AT354" s="5"/>
      <c r="AW354" s="2"/>
      <c r="AX354" s="2"/>
      <c r="AY354" s="2"/>
      <c r="AZ354" s="2"/>
      <c r="BA354" s="2"/>
      <c r="BB354" s="2"/>
      <c r="BC354" s="2"/>
    </row>
    <row r="355" spans="1:55" s="1" customFormat="1" ht="20.25" customHeight="1" x14ac:dyDescent="0.25">
      <c r="A355" s="101" t="s">
        <v>55</v>
      </c>
      <c r="N355" s="77"/>
      <c r="O355" s="3"/>
      <c r="Q355" s="41"/>
      <c r="R355" s="41"/>
      <c r="S355" s="41"/>
      <c r="T355" s="16"/>
      <c r="U355" s="17"/>
      <c r="V355" s="17"/>
      <c r="W355" s="17"/>
      <c r="X355" s="17"/>
      <c r="Z355" s="2"/>
      <c r="AA355" s="2"/>
      <c r="AB355" s="2"/>
      <c r="AD355" s="2"/>
      <c r="AE355" s="2"/>
      <c r="AF355" s="2"/>
      <c r="AG355" s="2"/>
      <c r="AH355" s="2"/>
      <c r="AT355" s="5"/>
      <c r="AW355" s="2"/>
      <c r="AX355" s="2"/>
      <c r="AY355" s="2"/>
      <c r="AZ355" s="2"/>
      <c r="BA355" s="2"/>
      <c r="BB355" s="2"/>
      <c r="BC355" s="2"/>
    </row>
    <row r="356" spans="1:55" s="1" customFormat="1" ht="20.25" customHeight="1" x14ac:dyDescent="0.25">
      <c r="A356" s="101" t="s">
        <v>55</v>
      </c>
      <c r="N356" s="77"/>
      <c r="O356" s="3"/>
      <c r="Q356" s="41"/>
      <c r="R356" s="41"/>
      <c r="S356" s="41"/>
      <c r="T356" s="40"/>
      <c r="U356" s="17"/>
      <c r="V356" s="17"/>
      <c r="W356" s="17"/>
      <c r="X356" s="17"/>
      <c r="Z356" s="2"/>
      <c r="AA356" s="2"/>
      <c r="AB356" s="2"/>
      <c r="AD356" s="2"/>
      <c r="AE356" s="2"/>
      <c r="AF356" s="2"/>
      <c r="AG356" s="2"/>
      <c r="AH356" s="2"/>
      <c r="AT356" s="5"/>
      <c r="AW356" s="2"/>
      <c r="AX356" s="2"/>
      <c r="AY356" s="2"/>
      <c r="AZ356" s="2"/>
      <c r="BA356" s="2"/>
      <c r="BB356" s="2"/>
      <c r="BC356" s="2"/>
    </row>
    <row r="357" spans="1:55" s="1" customFormat="1" ht="20.25" customHeight="1" x14ac:dyDescent="0.25">
      <c r="A357" s="101" t="s">
        <v>55</v>
      </c>
      <c r="N357" s="77"/>
      <c r="O357" s="3"/>
      <c r="Q357" s="41"/>
      <c r="R357" s="41"/>
      <c r="S357" s="41"/>
      <c r="T357" s="40"/>
      <c r="U357" s="17"/>
      <c r="V357" s="17"/>
      <c r="W357" s="17"/>
      <c r="X357" s="17"/>
      <c r="Z357" s="2"/>
      <c r="AA357" s="2"/>
      <c r="AB357" s="2"/>
      <c r="AD357" s="2"/>
      <c r="AE357" s="2"/>
      <c r="AF357" s="2"/>
      <c r="AG357" s="2"/>
      <c r="AH357" s="2"/>
      <c r="AT357" s="5"/>
      <c r="AW357" s="2"/>
      <c r="AX357" s="2"/>
      <c r="AY357" s="2"/>
      <c r="AZ357" s="2"/>
      <c r="BA357" s="2"/>
      <c r="BB357" s="2"/>
      <c r="BC357" s="2"/>
    </row>
    <row r="358" spans="1:55" s="1" customFormat="1" ht="20.25" customHeight="1" x14ac:dyDescent="0.25">
      <c r="A358" s="101" t="s">
        <v>55</v>
      </c>
      <c r="N358" s="77"/>
      <c r="O358" s="3"/>
      <c r="Q358" s="41"/>
      <c r="R358" s="41"/>
      <c r="S358" s="41"/>
      <c r="T358" s="40"/>
      <c r="U358" s="17"/>
      <c r="V358" s="17"/>
      <c r="W358" s="17"/>
      <c r="X358" s="17"/>
      <c r="Z358" s="2"/>
      <c r="AA358" s="2"/>
      <c r="AB358" s="2"/>
      <c r="AD358" s="2"/>
      <c r="AE358" s="2"/>
      <c r="AF358" s="2"/>
      <c r="AG358" s="2"/>
      <c r="AH358" s="2"/>
      <c r="AT358" s="5"/>
      <c r="AW358" s="2"/>
      <c r="AX358" s="2"/>
      <c r="AY358" s="2"/>
      <c r="AZ358" s="2"/>
      <c r="BA358" s="2"/>
      <c r="BB358" s="2"/>
      <c r="BC358" s="2"/>
    </row>
    <row r="359" spans="1:55" s="1" customFormat="1" ht="20.25" customHeight="1" x14ac:dyDescent="0.25">
      <c r="A359" s="101" t="s">
        <v>55</v>
      </c>
      <c r="N359" s="77"/>
      <c r="O359" s="3"/>
      <c r="Q359" s="41"/>
      <c r="R359" s="41"/>
      <c r="S359" s="41"/>
      <c r="T359" s="40"/>
      <c r="U359" s="17"/>
      <c r="V359" s="17"/>
      <c r="W359" s="17"/>
      <c r="X359" s="17"/>
      <c r="Z359" s="2"/>
      <c r="AA359" s="2"/>
      <c r="AB359" s="2"/>
      <c r="AD359" s="2"/>
      <c r="AE359" s="2"/>
      <c r="AF359" s="2"/>
      <c r="AG359" s="2"/>
      <c r="AH359" s="2"/>
      <c r="AT359" s="5"/>
      <c r="AW359" s="2"/>
      <c r="AX359" s="2"/>
      <c r="AY359" s="2"/>
      <c r="AZ359" s="2"/>
      <c r="BA359" s="2"/>
      <c r="BB359" s="2"/>
      <c r="BC359" s="2"/>
    </row>
    <row r="360" spans="1:55" s="1" customFormat="1" ht="20.25" customHeight="1" x14ac:dyDescent="0.25">
      <c r="A360" s="101" t="s">
        <v>55</v>
      </c>
      <c r="N360" s="77"/>
      <c r="O360" s="3"/>
      <c r="Q360" s="41"/>
      <c r="R360" s="41"/>
      <c r="S360" s="41"/>
      <c r="T360" s="16"/>
      <c r="U360" s="17"/>
      <c r="V360" s="17"/>
      <c r="W360" s="17"/>
      <c r="X360" s="17"/>
      <c r="Z360" s="2"/>
      <c r="AA360" s="2"/>
      <c r="AB360" s="2"/>
      <c r="AD360" s="2"/>
      <c r="AE360" s="2"/>
      <c r="AF360" s="2"/>
      <c r="AG360" s="2"/>
      <c r="AH360" s="2"/>
      <c r="AT360" s="5"/>
      <c r="AW360" s="2"/>
      <c r="AX360" s="2"/>
      <c r="AY360" s="2"/>
      <c r="AZ360" s="2"/>
      <c r="BA360" s="2"/>
      <c r="BB360" s="2"/>
      <c r="BC360" s="2"/>
    </row>
    <row r="361" spans="1:55" s="1" customFormat="1" ht="20.25" customHeight="1" x14ac:dyDescent="0.25">
      <c r="A361" s="101" t="s">
        <v>55</v>
      </c>
      <c r="N361" s="77"/>
      <c r="O361" s="3"/>
      <c r="Q361" s="41"/>
      <c r="R361" s="41"/>
      <c r="S361" s="41"/>
      <c r="T361" s="16"/>
      <c r="U361" s="17"/>
      <c r="V361" s="17"/>
      <c r="W361" s="17"/>
      <c r="X361" s="17"/>
      <c r="Z361" s="2"/>
      <c r="AA361" s="2"/>
      <c r="AB361" s="2"/>
      <c r="AD361" s="2"/>
      <c r="AE361" s="2"/>
      <c r="AF361" s="2"/>
      <c r="AG361" s="2"/>
      <c r="AH361" s="2"/>
      <c r="AT361" s="5"/>
      <c r="AW361" s="2"/>
      <c r="AX361" s="2"/>
      <c r="AY361" s="2"/>
      <c r="AZ361" s="2"/>
      <c r="BA361" s="2"/>
      <c r="BB361" s="2"/>
      <c r="BC361" s="2"/>
    </row>
    <row r="362" spans="1:55" s="1" customFormat="1" ht="20.25" customHeight="1" x14ac:dyDescent="0.25">
      <c r="A362" s="101" t="s">
        <v>55</v>
      </c>
      <c r="N362" s="77"/>
      <c r="O362" s="3"/>
      <c r="Q362" s="41"/>
      <c r="R362" s="41"/>
      <c r="S362" s="41"/>
      <c r="T362" s="40"/>
      <c r="U362" s="17"/>
      <c r="V362" s="17"/>
      <c r="W362" s="17"/>
      <c r="X362" s="17"/>
      <c r="Z362" s="2"/>
      <c r="AA362" s="2"/>
      <c r="AB362" s="2"/>
      <c r="AD362" s="2"/>
      <c r="AE362" s="2"/>
      <c r="AF362" s="2"/>
      <c r="AG362" s="2"/>
      <c r="AH362" s="2"/>
      <c r="AT362" s="5"/>
      <c r="AW362" s="2"/>
      <c r="AX362" s="2"/>
      <c r="AY362" s="2"/>
      <c r="AZ362" s="2"/>
      <c r="BA362" s="2"/>
      <c r="BB362" s="2"/>
      <c r="BC362" s="2"/>
    </row>
    <row r="363" spans="1:55" s="1" customFormat="1" ht="20.25" customHeight="1" x14ac:dyDescent="0.25">
      <c r="A363" s="101" t="s">
        <v>55</v>
      </c>
      <c r="N363" s="77"/>
      <c r="O363" s="3"/>
      <c r="Q363" s="41"/>
      <c r="R363" s="41"/>
      <c r="S363" s="41"/>
      <c r="T363" s="40"/>
      <c r="U363" s="17"/>
      <c r="V363" s="17"/>
      <c r="W363" s="17"/>
      <c r="X363" s="17"/>
      <c r="Z363" s="2"/>
      <c r="AA363" s="2"/>
      <c r="AB363" s="2"/>
      <c r="AD363" s="2"/>
      <c r="AE363" s="2"/>
      <c r="AF363" s="2"/>
      <c r="AG363" s="2"/>
      <c r="AH363" s="2"/>
      <c r="AT363" s="5"/>
      <c r="AW363" s="2"/>
      <c r="AX363" s="2"/>
      <c r="AY363" s="2"/>
      <c r="AZ363" s="2"/>
      <c r="BA363" s="2"/>
      <c r="BB363" s="2"/>
      <c r="BC363" s="2"/>
    </row>
    <row r="364" spans="1:55" s="1" customFormat="1" ht="20.25" customHeight="1" x14ac:dyDescent="0.25">
      <c r="A364" s="101" t="s">
        <v>55</v>
      </c>
      <c r="N364" s="77"/>
      <c r="O364" s="3"/>
      <c r="Q364" s="41"/>
      <c r="R364" s="41"/>
      <c r="S364" s="41"/>
      <c r="T364" s="40"/>
      <c r="U364" s="17"/>
      <c r="V364" s="17"/>
      <c r="W364" s="17"/>
      <c r="X364" s="17"/>
      <c r="Z364" s="2"/>
      <c r="AA364" s="2"/>
      <c r="AB364" s="2"/>
      <c r="AD364" s="2"/>
      <c r="AE364" s="2"/>
      <c r="AF364" s="2"/>
      <c r="AG364" s="2"/>
      <c r="AH364" s="2"/>
      <c r="AT364" s="5"/>
      <c r="AW364" s="2"/>
      <c r="AX364" s="2"/>
      <c r="AY364" s="2"/>
      <c r="AZ364" s="2"/>
      <c r="BA364" s="2"/>
      <c r="BB364" s="2"/>
      <c r="BC364" s="2"/>
    </row>
    <row r="365" spans="1:55" s="1" customFormat="1" ht="20.25" customHeight="1" x14ac:dyDescent="0.25">
      <c r="A365" s="101" t="s">
        <v>55</v>
      </c>
      <c r="N365" s="77"/>
      <c r="O365" s="3"/>
      <c r="Q365" s="41"/>
      <c r="R365" s="41"/>
      <c r="S365" s="41"/>
      <c r="T365" s="40"/>
      <c r="U365" s="17"/>
      <c r="V365" s="17"/>
      <c r="W365" s="17"/>
      <c r="X365" s="17"/>
      <c r="Z365" s="2"/>
      <c r="AA365" s="2"/>
      <c r="AB365" s="2"/>
      <c r="AD365" s="2"/>
      <c r="AE365" s="2"/>
      <c r="AF365" s="2"/>
      <c r="AG365" s="2"/>
      <c r="AH365" s="2"/>
      <c r="AT365" s="5"/>
      <c r="AW365" s="2"/>
      <c r="AX365" s="2"/>
      <c r="AY365" s="2"/>
      <c r="AZ365" s="2"/>
      <c r="BA365" s="2"/>
      <c r="BB365" s="2"/>
      <c r="BC365" s="2"/>
    </row>
    <row r="366" spans="1:55" s="1" customFormat="1" ht="20.25" customHeight="1" x14ac:dyDescent="0.25">
      <c r="A366" s="101" t="s">
        <v>55</v>
      </c>
      <c r="N366" s="77"/>
      <c r="O366" s="3"/>
      <c r="Q366" s="41"/>
      <c r="R366" s="41"/>
      <c r="S366" s="41"/>
      <c r="T366" s="16"/>
      <c r="U366" s="17"/>
      <c r="V366" s="17"/>
      <c r="W366" s="17"/>
      <c r="X366" s="17"/>
      <c r="Z366" s="2"/>
      <c r="AA366" s="2"/>
      <c r="AB366" s="2"/>
      <c r="AD366" s="2"/>
      <c r="AE366" s="2"/>
      <c r="AF366" s="2"/>
      <c r="AG366" s="2"/>
      <c r="AH366" s="2"/>
      <c r="AT366" s="5"/>
      <c r="AW366" s="2"/>
      <c r="AX366" s="2"/>
      <c r="AY366" s="2"/>
      <c r="AZ366" s="2"/>
      <c r="BA366" s="2"/>
      <c r="BB366" s="2"/>
      <c r="BC366" s="2"/>
    </row>
    <row r="367" spans="1:55" s="1" customFormat="1" ht="20.25" customHeight="1" x14ac:dyDescent="0.25">
      <c r="A367" s="101" t="s">
        <v>55</v>
      </c>
      <c r="N367" s="77"/>
      <c r="O367" s="3"/>
      <c r="Q367" s="41"/>
      <c r="R367" s="41"/>
      <c r="S367" s="41"/>
      <c r="T367" s="16"/>
      <c r="U367" s="17"/>
      <c r="V367" s="17"/>
      <c r="W367" s="17"/>
      <c r="X367" s="17"/>
      <c r="Z367" s="2"/>
      <c r="AA367" s="2"/>
      <c r="AB367" s="2"/>
      <c r="AD367" s="2"/>
      <c r="AE367" s="2"/>
      <c r="AF367" s="2"/>
      <c r="AG367" s="2"/>
      <c r="AH367" s="2"/>
      <c r="AT367" s="5"/>
      <c r="AW367" s="2"/>
      <c r="AX367" s="2"/>
      <c r="AY367" s="2"/>
      <c r="AZ367" s="2"/>
      <c r="BA367" s="2"/>
      <c r="BB367" s="2"/>
      <c r="BC367" s="2"/>
    </row>
    <row r="368" spans="1:55" s="1" customFormat="1" ht="20.25" customHeight="1" x14ac:dyDescent="0.25">
      <c r="A368" s="101" t="s">
        <v>55</v>
      </c>
      <c r="N368" s="77"/>
      <c r="O368" s="3"/>
      <c r="Q368" s="41"/>
      <c r="R368" s="41"/>
      <c r="S368" s="41"/>
      <c r="T368" s="40"/>
      <c r="U368" s="17"/>
      <c r="V368" s="17"/>
      <c r="W368" s="17"/>
      <c r="X368" s="17"/>
      <c r="Z368" s="2"/>
      <c r="AA368" s="2"/>
      <c r="AB368" s="2"/>
      <c r="AD368" s="2"/>
      <c r="AE368" s="2"/>
      <c r="AF368" s="2"/>
      <c r="AG368" s="2"/>
      <c r="AH368" s="2"/>
      <c r="AT368" s="5"/>
      <c r="AW368" s="2"/>
      <c r="AX368" s="2"/>
      <c r="AY368" s="2"/>
      <c r="AZ368" s="2"/>
      <c r="BA368" s="2"/>
      <c r="BB368" s="2"/>
      <c r="BC368" s="2"/>
    </row>
    <row r="369" spans="1:55" s="1" customFormat="1" ht="20.25" customHeight="1" x14ac:dyDescent="0.25">
      <c r="A369" s="101" t="s">
        <v>55</v>
      </c>
      <c r="N369" s="77"/>
      <c r="O369" s="3"/>
      <c r="Q369" s="41"/>
      <c r="R369" s="41"/>
      <c r="S369" s="41"/>
      <c r="T369" s="40"/>
      <c r="U369" s="17"/>
      <c r="V369" s="17"/>
      <c r="W369" s="17"/>
      <c r="X369" s="17"/>
      <c r="Z369" s="2"/>
      <c r="AA369" s="2"/>
      <c r="AB369" s="2"/>
      <c r="AD369" s="2"/>
      <c r="AE369" s="2"/>
      <c r="AF369" s="2"/>
      <c r="AG369" s="2"/>
      <c r="AH369" s="2"/>
      <c r="AT369" s="5"/>
      <c r="AW369" s="2"/>
      <c r="AX369" s="2"/>
      <c r="AY369" s="2"/>
      <c r="AZ369" s="2"/>
      <c r="BA369" s="2"/>
      <c r="BB369" s="2"/>
      <c r="BC369" s="2"/>
    </row>
    <row r="370" spans="1:55" s="1" customFormat="1" ht="20.25" customHeight="1" x14ac:dyDescent="0.25">
      <c r="A370" s="101" t="s">
        <v>55</v>
      </c>
      <c r="N370" s="77"/>
      <c r="O370" s="3"/>
      <c r="Q370" s="41"/>
      <c r="R370" s="41"/>
      <c r="S370" s="41"/>
      <c r="T370" s="40"/>
      <c r="U370" s="17"/>
      <c r="V370" s="17"/>
      <c r="W370" s="17"/>
      <c r="X370" s="17"/>
      <c r="Z370" s="2"/>
      <c r="AA370" s="2"/>
      <c r="AB370" s="2"/>
      <c r="AD370" s="2"/>
      <c r="AE370" s="2"/>
      <c r="AF370" s="2"/>
      <c r="AG370" s="2"/>
      <c r="AH370" s="2"/>
      <c r="AT370" s="5"/>
      <c r="AW370" s="2"/>
      <c r="AX370" s="2"/>
      <c r="AY370" s="2"/>
      <c r="AZ370" s="2"/>
      <c r="BA370" s="2"/>
      <c r="BB370" s="2"/>
      <c r="BC370" s="2"/>
    </row>
    <row r="371" spans="1:55" s="1" customFormat="1" ht="20.25" customHeight="1" x14ac:dyDescent="0.25">
      <c r="A371" s="101" t="s">
        <v>55</v>
      </c>
      <c r="N371" s="77"/>
      <c r="O371" s="3"/>
      <c r="Q371" s="41"/>
      <c r="R371" s="41"/>
      <c r="S371" s="41"/>
      <c r="T371" s="40"/>
      <c r="U371" s="17"/>
      <c r="V371" s="17"/>
      <c r="W371" s="17"/>
      <c r="X371" s="17"/>
      <c r="Z371" s="2"/>
      <c r="AA371" s="2"/>
      <c r="AB371" s="2"/>
      <c r="AD371" s="2"/>
      <c r="AE371" s="2"/>
      <c r="AF371" s="2"/>
      <c r="AG371" s="2"/>
      <c r="AH371" s="2"/>
      <c r="AT371" s="5"/>
      <c r="AW371" s="2"/>
      <c r="AX371" s="2"/>
      <c r="AY371" s="2"/>
      <c r="AZ371" s="2"/>
      <c r="BA371" s="2"/>
      <c r="BB371" s="2"/>
      <c r="BC371" s="2"/>
    </row>
    <row r="372" spans="1:55" s="1" customFormat="1" ht="20.25" customHeight="1" x14ac:dyDescent="0.25">
      <c r="A372" s="101" t="s">
        <v>55</v>
      </c>
      <c r="N372" s="77"/>
      <c r="O372" s="3"/>
      <c r="Q372" s="4"/>
      <c r="R372" s="41"/>
      <c r="S372" s="41"/>
      <c r="T372" s="40"/>
      <c r="U372" s="17"/>
      <c r="V372" s="17"/>
      <c r="W372" s="17"/>
      <c r="X372" s="17"/>
      <c r="Z372" s="2"/>
      <c r="AA372" s="2"/>
      <c r="AB372" s="2"/>
      <c r="AD372" s="2"/>
      <c r="AE372" s="2"/>
      <c r="AF372" s="2"/>
      <c r="AG372" s="2"/>
      <c r="AH372" s="2"/>
      <c r="AT372" s="5"/>
      <c r="AW372" s="2"/>
      <c r="AX372" s="2"/>
      <c r="AY372" s="2"/>
      <c r="AZ372" s="2"/>
      <c r="BA372" s="2"/>
      <c r="BB372" s="2"/>
      <c r="BC372" s="2"/>
    </row>
    <row r="373" spans="1:55" s="1" customFormat="1" ht="20.25" customHeight="1" x14ac:dyDescent="0.25">
      <c r="A373" s="101" t="s">
        <v>55</v>
      </c>
      <c r="N373" s="77"/>
      <c r="O373" s="3"/>
      <c r="Q373" s="4"/>
      <c r="R373" s="41"/>
      <c r="S373" s="41"/>
      <c r="T373" s="40"/>
      <c r="U373" s="17"/>
      <c r="V373" s="17"/>
      <c r="W373" s="17"/>
      <c r="X373" s="17"/>
      <c r="Z373" s="2"/>
      <c r="AA373" s="2"/>
      <c r="AB373" s="2"/>
      <c r="AD373" s="2"/>
      <c r="AE373" s="2"/>
      <c r="AF373" s="2"/>
      <c r="AG373" s="2"/>
      <c r="AH373" s="2"/>
      <c r="AT373" s="5"/>
      <c r="AW373" s="2"/>
      <c r="AX373" s="2"/>
      <c r="AY373" s="2"/>
      <c r="AZ373" s="2"/>
      <c r="BA373" s="2"/>
      <c r="BB373" s="2"/>
      <c r="BC373" s="2"/>
    </row>
    <row r="374" spans="1:55" s="1" customFormat="1" ht="20.25" customHeight="1" x14ac:dyDescent="0.25">
      <c r="A374" s="101" t="s">
        <v>55</v>
      </c>
      <c r="N374" s="77"/>
      <c r="O374" s="3"/>
      <c r="Q374" s="4"/>
      <c r="R374" s="41"/>
      <c r="S374" s="41"/>
      <c r="T374" s="40"/>
      <c r="U374" s="17"/>
      <c r="V374" s="17"/>
      <c r="W374" s="17"/>
      <c r="X374" s="17"/>
      <c r="Z374" s="2"/>
      <c r="AA374" s="2"/>
      <c r="AB374" s="2"/>
      <c r="AD374" s="2"/>
      <c r="AE374" s="2"/>
      <c r="AF374" s="2"/>
      <c r="AG374" s="2"/>
      <c r="AH374" s="2"/>
      <c r="AT374" s="5"/>
      <c r="AW374" s="2"/>
      <c r="AX374" s="2"/>
      <c r="AY374" s="2"/>
      <c r="AZ374" s="2"/>
      <c r="BA374" s="2"/>
      <c r="BB374" s="2"/>
      <c r="BC374" s="2"/>
    </row>
    <row r="375" spans="1:55" s="1" customFormat="1" ht="20.25" customHeight="1" x14ac:dyDescent="0.25">
      <c r="A375" s="101" t="s">
        <v>55</v>
      </c>
      <c r="N375" s="77"/>
      <c r="O375" s="3"/>
      <c r="Q375" s="4"/>
      <c r="R375" s="41"/>
      <c r="S375" s="41"/>
      <c r="T375" s="40"/>
      <c r="U375" s="17"/>
      <c r="V375" s="17"/>
      <c r="W375" s="17"/>
      <c r="X375" s="17"/>
      <c r="Z375" s="2"/>
      <c r="AA375" s="2"/>
      <c r="AB375" s="2"/>
      <c r="AD375" s="2"/>
      <c r="AE375" s="2"/>
      <c r="AF375" s="2"/>
      <c r="AG375" s="2"/>
      <c r="AH375" s="2"/>
      <c r="AT375" s="5"/>
      <c r="AW375" s="2"/>
      <c r="AX375" s="2"/>
      <c r="AY375" s="2"/>
      <c r="AZ375" s="2"/>
      <c r="BA375" s="2"/>
      <c r="BB375" s="2"/>
      <c r="BC375" s="2"/>
    </row>
    <row r="376" spans="1:55" s="1" customFormat="1" ht="20.25" customHeight="1" x14ac:dyDescent="0.25">
      <c r="A376" s="101" t="s">
        <v>55</v>
      </c>
      <c r="N376" s="77"/>
      <c r="O376" s="3"/>
      <c r="Q376" s="4"/>
      <c r="R376" s="4"/>
      <c r="S376" s="4"/>
      <c r="T376" s="40"/>
      <c r="U376" s="17"/>
      <c r="V376" s="17"/>
      <c r="W376" s="17"/>
      <c r="X376" s="17"/>
      <c r="Z376" s="2"/>
      <c r="AA376" s="2"/>
      <c r="AB376" s="2"/>
      <c r="AD376" s="2"/>
      <c r="AE376" s="2"/>
      <c r="AF376" s="2"/>
      <c r="AG376" s="2"/>
      <c r="AH376" s="2"/>
      <c r="AT376" s="5"/>
      <c r="AW376" s="2"/>
      <c r="AX376" s="2"/>
      <c r="AY376" s="2"/>
      <c r="AZ376" s="2"/>
      <c r="BA376" s="2"/>
      <c r="BB376" s="2"/>
      <c r="BC376" s="2"/>
    </row>
    <row r="377" spans="1:55" s="1" customFormat="1" ht="20.25" customHeight="1" x14ac:dyDescent="0.25">
      <c r="A377" s="101" t="s">
        <v>55</v>
      </c>
      <c r="N377" s="77"/>
      <c r="O377" s="3"/>
      <c r="Q377" s="4"/>
      <c r="R377" s="4"/>
      <c r="S377" s="4"/>
      <c r="T377" s="40"/>
      <c r="U377" s="17"/>
      <c r="V377" s="17"/>
      <c r="W377" s="17"/>
      <c r="X377" s="17"/>
      <c r="Z377" s="2"/>
      <c r="AA377" s="2"/>
      <c r="AB377" s="2"/>
      <c r="AD377" s="2"/>
      <c r="AE377" s="2"/>
      <c r="AF377" s="2"/>
      <c r="AG377" s="2"/>
      <c r="AH377" s="2"/>
      <c r="AT377" s="5"/>
      <c r="AW377" s="2"/>
      <c r="AX377" s="2"/>
      <c r="AY377" s="2"/>
      <c r="AZ377" s="2"/>
      <c r="BA377" s="2"/>
      <c r="BB377" s="2"/>
      <c r="BC377" s="2"/>
    </row>
    <row r="378" spans="1:55" s="1" customFormat="1" ht="20.25" customHeight="1" x14ac:dyDescent="0.25">
      <c r="A378" s="101" t="s">
        <v>55</v>
      </c>
      <c r="N378" s="77"/>
      <c r="O378" s="3"/>
      <c r="Q378" s="4"/>
      <c r="R378" s="4"/>
      <c r="S378" s="4"/>
      <c r="T378" s="40"/>
      <c r="U378" s="17"/>
      <c r="V378" s="17"/>
      <c r="W378" s="17"/>
      <c r="X378" s="17"/>
      <c r="Z378" s="2"/>
      <c r="AA378" s="2"/>
      <c r="AB378" s="2"/>
      <c r="AD378" s="2"/>
      <c r="AE378" s="2"/>
      <c r="AF378" s="2"/>
      <c r="AG378" s="2"/>
      <c r="AH378" s="2"/>
      <c r="AT378" s="5"/>
      <c r="AW378" s="2"/>
      <c r="AX378" s="2"/>
      <c r="AY378" s="2"/>
      <c r="AZ378" s="2"/>
      <c r="BA378" s="2"/>
      <c r="BB378" s="2"/>
      <c r="BC378" s="2"/>
    </row>
    <row r="379" spans="1:55" s="1" customFormat="1" ht="20.25" customHeight="1" x14ac:dyDescent="0.25">
      <c r="A379" s="101" t="s">
        <v>55</v>
      </c>
      <c r="N379" s="77"/>
      <c r="O379" s="3"/>
      <c r="Q379" s="4"/>
      <c r="R379" s="4"/>
      <c r="S379" s="4"/>
      <c r="T379" s="40"/>
      <c r="U379" s="17"/>
      <c r="V379" s="17"/>
      <c r="W379" s="17"/>
      <c r="X379" s="17"/>
      <c r="Z379" s="2"/>
      <c r="AA379" s="2"/>
      <c r="AB379" s="2"/>
      <c r="AD379" s="2"/>
      <c r="AE379" s="2"/>
      <c r="AF379" s="2"/>
      <c r="AG379" s="2"/>
      <c r="AH379" s="2"/>
      <c r="AT379" s="5"/>
      <c r="AW379" s="2"/>
      <c r="AX379" s="2"/>
      <c r="AY379" s="2"/>
      <c r="AZ379" s="2"/>
      <c r="BA379" s="2"/>
      <c r="BB379" s="2"/>
      <c r="BC379" s="2"/>
    </row>
    <row r="380" spans="1:55" s="1" customFormat="1" ht="20.25" customHeight="1" x14ac:dyDescent="0.25">
      <c r="A380" s="101" t="s">
        <v>55</v>
      </c>
      <c r="N380" s="77"/>
      <c r="O380" s="3"/>
      <c r="Q380" s="4"/>
      <c r="R380" s="4"/>
      <c r="S380" s="4"/>
      <c r="T380" s="40"/>
      <c r="U380" s="17"/>
      <c r="V380" s="17"/>
      <c r="W380" s="17"/>
      <c r="X380" s="17"/>
      <c r="Z380" s="2"/>
      <c r="AA380" s="2"/>
      <c r="AB380" s="2"/>
      <c r="AD380" s="2"/>
      <c r="AE380" s="2"/>
      <c r="AF380" s="2"/>
      <c r="AG380" s="2"/>
      <c r="AH380" s="2"/>
      <c r="AT380" s="5"/>
      <c r="AW380" s="2"/>
      <c r="AX380" s="2"/>
      <c r="AY380" s="2"/>
      <c r="AZ380" s="2"/>
      <c r="BA380" s="2"/>
      <c r="BB380" s="2"/>
      <c r="BC380" s="2"/>
    </row>
    <row r="381" spans="1:55" s="1" customFormat="1" ht="20.25" customHeight="1" x14ac:dyDescent="0.25">
      <c r="A381" s="101" t="s">
        <v>55</v>
      </c>
      <c r="N381" s="77"/>
      <c r="O381" s="3"/>
      <c r="Q381" s="4"/>
      <c r="R381" s="4"/>
      <c r="S381" s="4"/>
      <c r="T381" s="40"/>
      <c r="U381" s="17"/>
      <c r="V381" s="17"/>
      <c r="W381" s="17"/>
      <c r="X381" s="17"/>
      <c r="Z381" s="2"/>
      <c r="AA381" s="2"/>
      <c r="AB381" s="2"/>
      <c r="AD381" s="2"/>
      <c r="AE381" s="2"/>
      <c r="AF381" s="2"/>
      <c r="AG381" s="2"/>
      <c r="AH381" s="2"/>
      <c r="AT381" s="5"/>
      <c r="AW381" s="2"/>
      <c r="AX381" s="2"/>
      <c r="AY381" s="2"/>
      <c r="AZ381" s="2"/>
      <c r="BA381" s="2"/>
      <c r="BB381" s="2"/>
      <c r="BC381" s="2"/>
    </row>
    <row r="382" spans="1:55" s="1" customFormat="1" ht="20.25" customHeight="1" x14ac:dyDescent="0.25">
      <c r="A382" s="101" t="s">
        <v>55</v>
      </c>
      <c r="N382" s="77"/>
      <c r="O382" s="3"/>
      <c r="Q382" s="4"/>
      <c r="R382" s="4"/>
      <c r="S382" s="4"/>
      <c r="T382" s="40"/>
      <c r="U382" s="17"/>
      <c r="V382" s="17"/>
      <c r="W382" s="17"/>
      <c r="X382" s="17"/>
      <c r="Z382" s="2"/>
      <c r="AA382" s="2"/>
      <c r="AB382" s="2"/>
      <c r="AD382" s="2"/>
      <c r="AE382" s="2"/>
      <c r="AF382" s="2"/>
      <c r="AG382" s="2"/>
      <c r="AH382" s="2"/>
      <c r="AT382" s="5"/>
      <c r="AW382" s="2"/>
      <c r="AX382" s="2"/>
      <c r="AY382" s="2"/>
      <c r="AZ382" s="2"/>
      <c r="BA382" s="2"/>
      <c r="BB382" s="2"/>
      <c r="BC382" s="2"/>
    </row>
    <row r="383" spans="1:55" s="1" customFormat="1" ht="20.25" customHeight="1" x14ac:dyDescent="0.25">
      <c r="A383" s="101" t="s">
        <v>55</v>
      </c>
      <c r="N383" s="77"/>
      <c r="O383" s="3"/>
      <c r="Q383" s="4"/>
      <c r="R383" s="4"/>
      <c r="S383" s="4"/>
      <c r="T383" s="40"/>
      <c r="U383" s="17"/>
      <c r="V383" s="17"/>
      <c r="W383" s="17"/>
      <c r="X383" s="17"/>
      <c r="Z383" s="2"/>
      <c r="AA383" s="2"/>
      <c r="AB383" s="2"/>
      <c r="AD383" s="2"/>
      <c r="AE383" s="2"/>
      <c r="AF383" s="2"/>
      <c r="AG383" s="2"/>
      <c r="AH383" s="2"/>
      <c r="AT383" s="5"/>
      <c r="AW383" s="2"/>
      <c r="AX383" s="2"/>
      <c r="AY383" s="2"/>
      <c r="AZ383" s="2"/>
      <c r="BA383" s="2"/>
      <c r="BB383" s="2"/>
      <c r="BC383" s="2"/>
    </row>
    <row r="384" spans="1:55" s="1" customFormat="1" ht="20.25" customHeight="1" x14ac:dyDescent="0.25">
      <c r="A384" s="101" t="s">
        <v>55</v>
      </c>
      <c r="N384" s="77"/>
      <c r="O384" s="3"/>
      <c r="Q384" s="4"/>
      <c r="R384" s="4"/>
      <c r="S384" s="4"/>
      <c r="T384" s="40"/>
      <c r="U384" s="17"/>
      <c r="V384" s="17"/>
      <c r="W384" s="17"/>
      <c r="X384" s="17"/>
      <c r="Z384" s="2"/>
      <c r="AA384" s="2"/>
      <c r="AB384" s="2"/>
      <c r="AD384" s="2"/>
      <c r="AE384" s="2"/>
      <c r="AF384" s="2"/>
      <c r="AG384" s="2"/>
      <c r="AH384" s="2"/>
      <c r="AT384" s="5"/>
      <c r="AW384" s="2"/>
      <c r="AX384" s="2"/>
      <c r="AY384" s="2"/>
      <c r="AZ384" s="2"/>
      <c r="BA384" s="2"/>
      <c r="BB384" s="2"/>
      <c r="BC384" s="2"/>
    </row>
    <row r="385" spans="1:55" s="1" customFormat="1" ht="20.25" customHeight="1" x14ac:dyDescent="0.25">
      <c r="A385" s="101" t="s">
        <v>55</v>
      </c>
      <c r="N385" s="77"/>
      <c r="O385" s="3"/>
      <c r="Q385" s="4"/>
      <c r="R385" s="4"/>
      <c r="S385" s="4"/>
      <c r="T385" s="40"/>
      <c r="U385" s="17"/>
      <c r="V385" s="17"/>
      <c r="W385" s="17"/>
      <c r="X385" s="17"/>
      <c r="Z385" s="2"/>
      <c r="AA385" s="2"/>
      <c r="AB385" s="2"/>
      <c r="AD385" s="2"/>
      <c r="AE385" s="2"/>
      <c r="AF385" s="2"/>
      <c r="AG385" s="2"/>
      <c r="AH385" s="2"/>
      <c r="AT385" s="5"/>
      <c r="AW385" s="2"/>
      <c r="AX385" s="2"/>
      <c r="AY385" s="2"/>
      <c r="AZ385" s="2"/>
      <c r="BA385" s="2"/>
      <c r="BB385" s="2"/>
      <c r="BC385" s="2"/>
    </row>
    <row r="386" spans="1:55" s="1" customFormat="1" ht="20.25" customHeight="1" x14ac:dyDescent="0.25">
      <c r="A386" s="101" t="s">
        <v>55</v>
      </c>
      <c r="N386" s="77"/>
      <c r="O386" s="3"/>
      <c r="Q386" s="4"/>
      <c r="R386" s="4"/>
      <c r="S386" s="4"/>
      <c r="T386" s="40"/>
      <c r="U386" s="17"/>
      <c r="V386" s="17"/>
      <c r="W386" s="17"/>
      <c r="X386" s="17"/>
      <c r="Z386" s="2"/>
      <c r="AA386" s="2"/>
      <c r="AB386" s="2"/>
      <c r="AD386" s="2"/>
      <c r="AE386" s="2"/>
      <c r="AF386" s="2"/>
      <c r="AG386" s="2"/>
      <c r="AH386" s="2"/>
      <c r="AT386" s="5"/>
      <c r="AW386" s="2"/>
      <c r="AX386" s="2"/>
      <c r="AY386" s="2"/>
      <c r="AZ386" s="2"/>
      <c r="BA386" s="2"/>
      <c r="BB386" s="2"/>
      <c r="BC386" s="2"/>
    </row>
    <row r="387" spans="1:55" s="1" customFormat="1" ht="20.25" customHeight="1" x14ac:dyDescent="0.25">
      <c r="N387" s="77"/>
      <c r="O387" s="3"/>
      <c r="Q387" s="4"/>
      <c r="R387" s="4"/>
      <c r="S387" s="4"/>
      <c r="T387" s="40"/>
      <c r="U387" s="17"/>
      <c r="V387" s="17"/>
      <c r="W387" s="17"/>
      <c r="X387" s="17"/>
      <c r="Z387" s="2"/>
      <c r="AA387" s="2"/>
      <c r="AB387" s="2"/>
      <c r="AD387" s="2"/>
      <c r="AE387" s="2"/>
      <c r="AF387" s="2"/>
      <c r="AG387" s="2"/>
      <c r="AH387" s="2"/>
      <c r="AT387" s="5"/>
      <c r="AW387" s="2"/>
      <c r="AX387" s="2"/>
      <c r="AY387" s="2"/>
      <c r="AZ387" s="2"/>
      <c r="BA387" s="2"/>
      <c r="BB387" s="2"/>
      <c r="BC387" s="2"/>
    </row>
    <row r="388" spans="1:55" s="1" customFormat="1" ht="20.25" customHeight="1" x14ac:dyDescent="0.25">
      <c r="N388" s="77"/>
      <c r="O388" s="3"/>
      <c r="Q388" s="4"/>
      <c r="R388" s="4"/>
      <c r="S388" s="4"/>
      <c r="T388" s="40"/>
      <c r="U388" s="17"/>
      <c r="V388" s="17"/>
      <c r="W388" s="17"/>
      <c r="X388" s="17"/>
      <c r="Z388" s="2"/>
      <c r="AA388" s="2"/>
      <c r="AB388" s="2"/>
      <c r="AD388" s="2"/>
      <c r="AE388" s="2"/>
      <c r="AF388" s="2"/>
      <c r="AG388" s="2"/>
      <c r="AH388" s="2"/>
      <c r="AT388" s="5"/>
      <c r="AW388" s="2"/>
      <c r="AX388" s="2"/>
      <c r="AY388" s="2"/>
      <c r="AZ388" s="2"/>
      <c r="BA388" s="2"/>
      <c r="BB388" s="2"/>
      <c r="BC388" s="2"/>
    </row>
    <row r="389" spans="1:55" s="1" customFormat="1" ht="20.25" customHeight="1" x14ac:dyDescent="0.25">
      <c r="N389" s="77"/>
      <c r="O389" s="3"/>
      <c r="Q389" s="4"/>
      <c r="R389" s="4"/>
      <c r="S389" s="4"/>
      <c r="T389" s="40"/>
      <c r="U389" s="17"/>
      <c r="V389" s="17"/>
      <c r="W389" s="17"/>
      <c r="X389" s="17"/>
      <c r="Z389" s="2"/>
      <c r="AA389" s="2"/>
      <c r="AB389" s="2"/>
      <c r="AD389" s="2"/>
      <c r="AE389" s="2"/>
      <c r="AF389" s="2"/>
      <c r="AG389" s="2"/>
      <c r="AH389" s="2"/>
      <c r="AT389" s="5"/>
      <c r="AW389" s="2"/>
      <c r="AX389" s="2"/>
      <c r="AY389" s="2"/>
      <c r="AZ389" s="2"/>
      <c r="BA389" s="2"/>
      <c r="BB389" s="2"/>
      <c r="BC389" s="2"/>
    </row>
    <row r="390" spans="1:55" s="1" customFormat="1" ht="20.25" customHeight="1" x14ac:dyDescent="0.25">
      <c r="N390" s="77"/>
      <c r="O390" s="3"/>
      <c r="Q390" s="4"/>
      <c r="R390" s="4"/>
      <c r="S390" s="4"/>
      <c r="T390" s="40"/>
      <c r="U390" s="17"/>
      <c r="V390" s="17"/>
      <c r="W390" s="17"/>
      <c r="X390" s="17"/>
      <c r="Z390" s="2"/>
      <c r="AA390" s="2"/>
      <c r="AB390" s="2"/>
      <c r="AD390" s="2"/>
      <c r="AE390" s="2"/>
      <c r="AF390" s="2"/>
      <c r="AG390" s="2"/>
      <c r="AH390" s="2"/>
      <c r="AT390" s="5"/>
      <c r="AW390" s="2"/>
      <c r="AX390" s="2"/>
      <c r="AY390" s="2"/>
      <c r="AZ390" s="2"/>
      <c r="BA390" s="2"/>
      <c r="BB390" s="2"/>
      <c r="BC390" s="2"/>
    </row>
    <row r="391" spans="1:55" s="1" customFormat="1" ht="20.25" customHeight="1" x14ac:dyDescent="0.25">
      <c r="N391" s="77"/>
      <c r="O391" s="3"/>
      <c r="Q391" s="4"/>
      <c r="R391" s="4"/>
      <c r="S391" s="4"/>
      <c r="T391" s="40"/>
      <c r="U391" s="17"/>
      <c r="V391" s="17"/>
      <c r="W391" s="17"/>
      <c r="X391" s="17"/>
      <c r="Z391" s="2"/>
      <c r="AA391" s="2"/>
      <c r="AB391" s="2"/>
      <c r="AD391" s="2"/>
      <c r="AE391" s="2"/>
      <c r="AF391" s="2"/>
      <c r="AG391" s="2"/>
      <c r="AH391" s="2"/>
      <c r="AT391" s="5"/>
      <c r="AW391" s="2"/>
      <c r="AX391" s="2"/>
      <c r="AY391" s="2"/>
      <c r="AZ391" s="2"/>
      <c r="BA391" s="2"/>
      <c r="BB391" s="2"/>
      <c r="BC391" s="2"/>
    </row>
    <row r="392" spans="1:55" s="1" customFormat="1" ht="20.25" customHeight="1" x14ac:dyDescent="0.25">
      <c r="N392" s="77"/>
      <c r="O392" s="3"/>
      <c r="Q392" s="4"/>
      <c r="R392" s="4"/>
      <c r="S392" s="4"/>
      <c r="T392" s="40"/>
      <c r="U392" s="17"/>
      <c r="V392" s="17"/>
      <c r="W392" s="17"/>
      <c r="X392" s="17"/>
      <c r="Z392" s="2"/>
      <c r="AA392" s="2"/>
      <c r="AB392" s="2"/>
      <c r="AD392" s="2"/>
      <c r="AE392" s="2"/>
      <c r="AF392" s="2"/>
      <c r="AG392" s="2"/>
      <c r="AH392" s="2"/>
      <c r="AT392" s="5"/>
      <c r="AW392" s="2"/>
      <c r="AX392" s="2"/>
      <c r="AY392" s="2"/>
      <c r="AZ392" s="2"/>
      <c r="BA392" s="2"/>
      <c r="BB392" s="2"/>
      <c r="BC392" s="2"/>
    </row>
    <row r="393" spans="1:55" s="1" customFormat="1" ht="20.25" customHeight="1" x14ac:dyDescent="0.25">
      <c r="N393" s="77"/>
      <c r="O393" s="3"/>
      <c r="Q393" s="4"/>
      <c r="R393" s="4"/>
      <c r="S393" s="4"/>
      <c r="T393" s="40"/>
      <c r="U393" s="17"/>
      <c r="V393" s="17"/>
      <c r="W393" s="17"/>
      <c r="X393" s="17"/>
      <c r="Z393" s="2"/>
      <c r="AA393" s="2"/>
      <c r="AB393" s="2"/>
      <c r="AD393" s="2"/>
      <c r="AE393" s="2"/>
      <c r="AF393" s="2"/>
      <c r="AG393" s="2"/>
      <c r="AH393" s="2"/>
      <c r="AT393" s="5"/>
      <c r="AW393" s="2"/>
      <c r="AX393" s="2"/>
      <c r="AY393" s="2"/>
      <c r="AZ393" s="2"/>
      <c r="BA393" s="2"/>
      <c r="BB393" s="2"/>
      <c r="BC393" s="2"/>
    </row>
    <row r="394" spans="1:55" s="1" customFormat="1" ht="20.25" customHeight="1" x14ac:dyDescent="0.25">
      <c r="N394" s="77"/>
      <c r="O394" s="3"/>
      <c r="Q394" s="4"/>
      <c r="R394" s="4"/>
      <c r="S394" s="4"/>
      <c r="T394" s="40"/>
      <c r="U394" s="17"/>
      <c r="V394" s="17"/>
      <c r="W394" s="17"/>
      <c r="X394" s="17"/>
      <c r="Z394" s="2"/>
      <c r="AA394" s="2"/>
      <c r="AB394" s="2"/>
      <c r="AD394" s="2"/>
      <c r="AE394" s="2"/>
      <c r="AF394" s="2"/>
      <c r="AG394" s="2"/>
      <c r="AH394" s="2"/>
      <c r="AT394" s="5"/>
      <c r="AW394" s="2"/>
      <c r="AX394" s="2"/>
      <c r="AY394" s="2"/>
      <c r="AZ394" s="2"/>
      <c r="BA394" s="2"/>
      <c r="BB394" s="2"/>
      <c r="BC394" s="2"/>
    </row>
    <row r="395" spans="1:55" s="1" customFormat="1" ht="20.25" customHeight="1" x14ac:dyDescent="0.25">
      <c r="N395" s="77"/>
      <c r="O395" s="3"/>
      <c r="Q395" s="4"/>
      <c r="R395" s="4"/>
      <c r="S395" s="4"/>
      <c r="T395" s="40"/>
      <c r="U395" s="17"/>
      <c r="V395" s="17"/>
      <c r="W395" s="17"/>
      <c r="X395" s="17"/>
      <c r="Z395" s="2"/>
      <c r="AA395" s="2"/>
      <c r="AB395" s="2"/>
      <c r="AD395" s="2"/>
      <c r="AE395" s="2"/>
      <c r="AF395" s="2"/>
      <c r="AG395" s="2"/>
      <c r="AH395" s="2"/>
      <c r="AT395" s="5"/>
      <c r="AW395" s="2"/>
      <c r="AX395" s="2"/>
      <c r="AY395" s="2"/>
      <c r="AZ395" s="2"/>
      <c r="BA395" s="2"/>
      <c r="BB395" s="2"/>
      <c r="BC395" s="2"/>
    </row>
    <row r="396" spans="1:55" s="1" customFormat="1" ht="20.25" customHeight="1" x14ac:dyDescent="0.25">
      <c r="N396" s="77"/>
      <c r="O396" s="3"/>
      <c r="Q396" s="4"/>
      <c r="R396" s="4"/>
      <c r="S396" s="4"/>
      <c r="T396" s="40"/>
      <c r="U396" s="17"/>
      <c r="V396" s="17"/>
      <c r="W396" s="17"/>
      <c r="X396" s="17"/>
      <c r="Z396" s="2"/>
      <c r="AA396" s="2"/>
      <c r="AB396" s="2"/>
      <c r="AD396" s="2"/>
      <c r="AE396" s="2"/>
      <c r="AF396" s="2"/>
      <c r="AG396" s="2"/>
      <c r="AH396" s="2"/>
      <c r="AT396" s="5"/>
      <c r="AW396" s="2"/>
      <c r="AX396" s="2"/>
      <c r="AY396" s="2"/>
      <c r="AZ396" s="2"/>
      <c r="BA396" s="2"/>
      <c r="BB396" s="2"/>
      <c r="BC396" s="2"/>
    </row>
    <row r="397" spans="1:55" s="1" customFormat="1" ht="20.25" customHeight="1" x14ac:dyDescent="0.25">
      <c r="N397" s="77"/>
      <c r="O397" s="3"/>
      <c r="Q397" s="4"/>
      <c r="R397" s="4"/>
      <c r="S397" s="4"/>
      <c r="T397" s="40"/>
      <c r="U397" s="17"/>
      <c r="V397" s="17"/>
      <c r="W397" s="17"/>
      <c r="X397" s="17"/>
      <c r="Z397" s="2"/>
      <c r="AA397" s="2"/>
      <c r="AB397" s="2"/>
      <c r="AD397" s="2"/>
      <c r="AE397" s="2"/>
      <c r="AF397" s="2"/>
      <c r="AG397" s="2"/>
      <c r="AH397" s="2"/>
      <c r="AT397" s="5"/>
      <c r="AW397" s="2"/>
      <c r="AX397" s="2"/>
      <c r="AY397" s="2"/>
      <c r="AZ397" s="2"/>
      <c r="BA397" s="2"/>
      <c r="BB397" s="2"/>
      <c r="BC397" s="2"/>
    </row>
    <row r="398" spans="1:55" s="1" customFormat="1" ht="20.25" customHeight="1" x14ac:dyDescent="0.25">
      <c r="N398" s="77"/>
      <c r="O398" s="3"/>
      <c r="Q398" s="4"/>
      <c r="R398" s="4"/>
      <c r="S398" s="4"/>
      <c r="T398" s="40"/>
      <c r="U398" s="17"/>
      <c r="V398" s="17"/>
      <c r="W398" s="17"/>
      <c r="X398" s="17"/>
      <c r="Z398" s="2"/>
      <c r="AA398" s="2"/>
      <c r="AB398" s="2"/>
      <c r="AD398" s="2"/>
      <c r="AE398" s="2"/>
      <c r="AF398" s="2"/>
      <c r="AG398" s="2"/>
      <c r="AH398" s="2"/>
      <c r="AT398" s="5"/>
      <c r="AW398" s="2"/>
      <c r="AX398" s="2"/>
      <c r="AY398" s="2"/>
      <c r="AZ398" s="2"/>
      <c r="BA398" s="2"/>
      <c r="BB398" s="2"/>
      <c r="BC398" s="2"/>
    </row>
    <row r="399" spans="1:55" s="1" customFormat="1" ht="20.25" customHeight="1" x14ac:dyDescent="0.25">
      <c r="N399" s="77"/>
      <c r="O399" s="3"/>
      <c r="Q399" s="4"/>
      <c r="R399" s="4"/>
      <c r="S399" s="4"/>
      <c r="T399" s="40"/>
      <c r="U399" s="17"/>
      <c r="V399" s="17"/>
      <c r="W399" s="17"/>
      <c r="X399" s="17"/>
      <c r="Z399" s="2"/>
      <c r="AA399" s="2"/>
      <c r="AB399" s="2"/>
      <c r="AD399" s="2"/>
      <c r="AE399" s="2"/>
      <c r="AF399" s="2"/>
      <c r="AG399" s="2"/>
      <c r="AH399" s="2"/>
      <c r="AT399" s="5"/>
      <c r="AW399" s="2"/>
      <c r="AX399" s="2"/>
      <c r="AY399" s="2"/>
      <c r="AZ399" s="2"/>
      <c r="BA399" s="2"/>
      <c r="BB399" s="2"/>
      <c r="BC399" s="2"/>
    </row>
    <row r="400" spans="1:55" s="1" customFormat="1" ht="20.25" customHeight="1" x14ac:dyDescent="0.25">
      <c r="N400" s="77"/>
      <c r="O400" s="3"/>
      <c r="Q400" s="4"/>
      <c r="R400" s="4"/>
      <c r="S400" s="4"/>
      <c r="T400" s="40"/>
      <c r="U400" s="17"/>
      <c r="V400" s="17"/>
      <c r="W400" s="17"/>
      <c r="X400" s="17"/>
      <c r="Z400" s="2"/>
      <c r="AA400" s="2"/>
      <c r="AB400" s="2"/>
      <c r="AD400" s="2"/>
      <c r="AE400" s="2"/>
      <c r="AF400" s="2"/>
      <c r="AG400" s="2"/>
      <c r="AH400" s="2"/>
      <c r="AT400" s="5"/>
      <c r="AW400" s="2"/>
      <c r="AX400" s="2"/>
      <c r="AY400" s="2"/>
      <c r="AZ400" s="2"/>
      <c r="BA400" s="2"/>
      <c r="BB400" s="2"/>
      <c r="BC400" s="2"/>
    </row>
    <row r="401" spans="14:55" s="1" customFormat="1" ht="20.25" customHeight="1" x14ac:dyDescent="0.25">
      <c r="N401" s="77"/>
      <c r="O401" s="3"/>
      <c r="Q401" s="4"/>
      <c r="R401" s="4"/>
      <c r="S401" s="4"/>
      <c r="T401" s="40"/>
      <c r="U401" s="17"/>
      <c r="V401" s="17"/>
      <c r="W401" s="17"/>
      <c r="X401" s="17"/>
      <c r="Z401" s="2"/>
      <c r="AA401" s="2"/>
      <c r="AB401" s="2"/>
      <c r="AD401" s="2"/>
      <c r="AE401" s="2"/>
      <c r="AF401" s="2"/>
      <c r="AG401" s="2"/>
      <c r="AH401" s="2"/>
      <c r="AT401" s="5"/>
      <c r="AW401" s="2"/>
      <c r="AX401" s="2"/>
      <c r="AY401" s="2"/>
      <c r="AZ401" s="2"/>
      <c r="BA401" s="2"/>
      <c r="BB401" s="2"/>
      <c r="BC401" s="2"/>
    </row>
    <row r="402" spans="14:55" s="1" customFormat="1" ht="20.25" customHeight="1" x14ac:dyDescent="0.25">
      <c r="N402" s="77"/>
      <c r="O402" s="3"/>
      <c r="Q402" s="4"/>
      <c r="R402" s="4"/>
      <c r="S402" s="4"/>
      <c r="T402" s="40"/>
      <c r="U402" s="17"/>
      <c r="V402" s="17"/>
      <c r="W402" s="17"/>
      <c r="X402" s="17"/>
      <c r="Z402" s="2"/>
      <c r="AA402" s="2"/>
      <c r="AB402" s="2"/>
      <c r="AD402" s="2"/>
      <c r="AE402" s="2"/>
      <c r="AF402" s="2"/>
      <c r="AG402" s="2"/>
      <c r="AH402" s="2"/>
      <c r="AT402" s="5"/>
      <c r="AW402" s="2"/>
      <c r="AX402" s="2"/>
      <c r="AY402" s="2"/>
      <c r="AZ402" s="2"/>
      <c r="BA402" s="2"/>
      <c r="BB402" s="2"/>
      <c r="BC402" s="2"/>
    </row>
    <row r="403" spans="14:55" s="1" customFormat="1" ht="20.25" customHeight="1" x14ac:dyDescent="0.25">
      <c r="N403" s="77"/>
      <c r="O403" s="3"/>
      <c r="Q403" s="4"/>
      <c r="R403" s="4"/>
      <c r="S403" s="4"/>
      <c r="T403" s="40"/>
      <c r="U403" s="17"/>
      <c r="V403" s="17"/>
      <c r="W403" s="17"/>
      <c r="X403" s="17"/>
      <c r="Z403" s="2"/>
      <c r="AA403" s="2"/>
      <c r="AB403" s="2"/>
      <c r="AD403" s="2"/>
      <c r="AE403" s="2"/>
      <c r="AF403" s="2"/>
      <c r="AG403" s="2"/>
      <c r="AH403" s="2"/>
      <c r="AT403" s="5"/>
      <c r="AW403" s="2"/>
      <c r="AX403" s="2"/>
      <c r="AY403" s="2"/>
      <c r="AZ403" s="2"/>
      <c r="BA403" s="2"/>
      <c r="BB403" s="2"/>
      <c r="BC403" s="2"/>
    </row>
    <row r="404" spans="14:55" s="1" customFormat="1" ht="20.25" customHeight="1" x14ac:dyDescent="0.25">
      <c r="N404" s="77"/>
      <c r="O404" s="3"/>
      <c r="Q404" s="4"/>
      <c r="R404" s="4"/>
      <c r="S404" s="4"/>
      <c r="T404" s="40"/>
      <c r="U404" s="17"/>
      <c r="V404" s="17"/>
      <c r="W404" s="17"/>
      <c r="X404" s="17"/>
      <c r="Z404" s="2"/>
      <c r="AA404" s="2"/>
      <c r="AB404" s="2"/>
      <c r="AD404" s="2"/>
      <c r="AE404" s="2"/>
      <c r="AF404" s="2"/>
      <c r="AG404" s="2"/>
      <c r="AH404" s="2"/>
      <c r="AT404" s="5"/>
      <c r="AW404" s="2"/>
      <c r="AX404" s="2"/>
      <c r="AY404" s="2"/>
      <c r="AZ404" s="2"/>
      <c r="BA404" s="2"/>
      <c r="BB404" s="2"/>
      <c r="BC404" s="2"/>
    </row>
    <row r="405" spans="14:55" s="1" customFormat="1" ht="20.25" customHeight="1" x14ac:dyDescent="0.25">
      <c r="N405" s="77"/>
      <c r="O405" s="3"/>
      <c r="Q405" s="4"/>
      <c r="R405" s="4"/>
      <c r="S405" s="4"/>
      <c r="T405" s="40"/>
      <c r="U405" s="17"/>
      <c r="V405" s="17"/>
      <c r="W405" s="17"/>
      <c r="X405" s="17"/>
      <c r="Z405" s="2"/>
      <c r="AA405" s="2"/>
      <c r="AB405" s="2"/>
      <c r="AC405" s="2"/>
      <c r="AD405" s="26"/>
      <c r="AE405" s="2"/>
      <c r="AF405" s="2"/>
      <c r="AG405" s="2"/>
      <c r="AH405" s="2"/>
      <c r="AT405" s="5"/>
      <c r="AW405" s="2"/>
      <c r="AX405" s="2"/>
      <c r="AY405" s="2"/>
      <c r="AZ405" s="2"/>
      <c r="BA405" s="2"/>
      <c r="BB405" s="2"/>
      <c r="BC405" s="2"/>
    </row>
    <row r="406" spans="14:55" s="1" customFormat="1" ht="20.25" customHeight="1" x14ac:dyDescent="0.25">
      <c r="N406" s="77"/>
      <c r="O406" s="3"/>
      <c r="Q406" s="4"/>
      <c r="R406" s="4"/>
      <c r="S406" s="4"/>
      <c r="T406" s="40"/>
      <c r="U406" s="17"/>
      <c r="V406" s="17"/>
      <c r="W406" s="17"/>
      <c r="X406" s="17"/>
      <c r="Z406" s="2"/>
      <c r="AA406" s="2"/>
      <c r="AB406" s="2"/>
      <c r="AC406" s="2"/>
      <c r="AD406" s="26"/>
      <c r="AE406" s="2"/>
      <c r="AF406" s="2"/>
      <c r="AG406" s="2"/>
      <c r="AH406" s="2"/>
      <c r="AT406" s="5"/>
      <c r="AW406" s="2"/>
      <c r="AX406" s="2"/>
      <c r="AY406" s="2"/>
      <c r="AZ406" s="2"/>
      <c r="BA406" s="2"/>
      <c r="BB406" s="2"/>
      <c r="BC406" s="2"/>
    </row>
    <row r="407" spans="14:55" s="1" customFormat="1" ht="20.25" customHeight="1" x14ac:dyDescent="0.25">
      <c r="N407" s="77"/>
      <c r="O407" s="3"/>
      <c r="Q407" s="4"/>
      <c r="R407" s="4"/>
      <c r="S407" s="4"/>
      <c r="T407" s="40"/>
      <c r="U407" s="17"/>
      <c r="V407" s="17"/>
      <c r="W407" s="17"/>
      <c r="X407" s="17"/>
      <c r="Z407" s="2"/>
      <c r="AA407" s="2"/>
      <c r="AB407" s="2"/>
      <c r="AC407" s="2"/>
      <c r="AD407" s="26"/>
      <c r="AE407" s="2"/>
      <c r="AF407" s="2"/>
      <c r="AG407" s="2"/>
      <c r="AH407" s="2"/>
      <c r="AT407" s="5"/>
      <c r="AW407" s="2"/>
      <c r="AX407" s="2"/>
      <c r="AY407" s="2"/>
      <c r="AZ407" s="2"/>
      <c r="BA407" s="2"/>
      <c r="BB407" s="2"/>
      <c r="BC407" s="2"/>
    </row>
    <row r="408" spans="14:55" s="1" customFormat="1" ht="20.25" customHeight="1" x14ac:dyDescent="0.25">
      <c r="N408" s="77"/>
      <c r="O408" s="3"/>
      <c r="Q408" s="4"/>
      <c r="R408" s="4"/>
      <c r="S408" s="4"/>
      <c r="T408" s="40"/>
      <c r="U408" s="17"/>
      <c r="V408" s="17"/>
      <c r="W408" s="17"/>
      <c r="X408" s="17"/>
      <c r="Z408" s="2"/>
      <c r="AA408" s="2"/>
      <c r="AB408" s="2"/>
      <c r="AC408" s="2"/>
      <c r="AD408" s="26"/>
      <c r="AE408" s="2"/>
      <c r="AF408" s="2"/>
      <c r="AG408" s="2"/>
      <c r="AH408" s="2"/>
      <c r="AT408" s="5"/>
      <c r="AW408" s="2"/>
      <c r="AX408" s="2"/>
      <c r="AY408" s="2"/>
      <c r="AZ408" s="2"/>
      <c r="BA408" s="2"/>
      <c r="BB408" s="2"/>
      <c r="BC408" s="2"/>
    </row>
    <row r="409" spans="14:55" s="1" customFormat="1" ht="20.25" customHeight="1" x14ac:dyDescent="0.25">
      <c r="N409" s="77"/>
      <c r="O409" s="3"/>
      <c r="Q409" s="4"/>
      <c r="R409" s="4"/>
      <c r="S409" s="4"/>
      <c r="T409" s="40"/>
      <c r="U409" s="17"/>
      <c r="V409" s="17"/>
      <c r="W409" s="17"/>
      <c r="X409" s="17"/>
      <c r="Z409" s="2"/>
      <c r="AA409" s="2"/>
      <c r="AB409" s="2"/>
      <c r="AC409" s="2"/>
      <c r="AD409" s="26"/>
      <c r="AE409" s="2"/>
      <c r="AF409" s="2"/>
      <c r="AG409" s="2"/>
      <c r="AH409" s="2"/>
      <c r="AT409" s="5"/>
      <c r="AW409" s="2"/>
      <c r="AX409" s="2"/>
      <c r="AY409" s="2"/>
      <c r="AZ409" s="2"/>
      <c r="BA409" s="2"/>
      <c r="BB409" s="2"/>
      <c r="BC409" s="2"/>
    </row>
    <row r="410" spans="14:55" s="1" customFormat="1" ht="20.25" customHeight="1" x14ac:dyDescent="0.25">
      <c r="N410" s="77"/>
      <c r="O410" s="3"/>
      <c r="Q410" s="4"/>
      <c r="R410" s="4"/>
      <c r="S410" s="4"/>
      <c r="T410" s="40"/>
      <c r="U410" s="17"/>
      <c r="V410" s="17"/>
      <c r="W410" s="17"/>
      <c r="X410" s="17"/>
      <c r="Z410" s="2"/>
      <c r="AA410" s="2"/>
      <c r="AB410" s="2"/>
      <c r="AC410" s="2"/>
      <c r="AD410" s="26"/>
      <c r="AE410" s="2"/>
      <c r="AF410" s="2"/>
      <c r="AG410" s="2"/>
      <c r="AH410" s="2"/>
      <c r="AT410" s="5"/>
      <c r="AW410" s="2"/>
      <c r="AX410" s="2"/>
      <c r="AY410" s="2"/>
      <c r="AZ410" s="2"/>
      <c r="BA410" s="2"/>
      <c r="BB410" s="2"/>
      <c r="BC410" s="2"/>
    </row>
    <row r="411" spans="14:55" s="1" customFormat="1" ht="20.25" customHeight="1" x14ac:dyDescent="0.25">
      <c r="N411" s="77"/>
      <c r="O411" s="3"/>
      <c r="Q411" s="4"/>
      <c r="R411" s="4"/>
      <c r="S411" s="4"/>
      <c r="T411" s="40"/>
      <c r="U411" s="17"/>
      <c r="V411" s="17"/>
      <c r="W411" s="17"/>
      <c r="X411" s="17"/>
      <c r="Z411" s="2"/>
      <c r="AA411" s="2"/>
      <c r="AB411" s="2"/>
      <c r="AC411" s="2"/>
      <c r="AD411" s="26"/>
      <c r="AE411" s="2"/>
      <c r="AF411" s="2"/>
      <c r="AG411" s="2"/>
      <c r="AH411" s="2"/>
      <c r="AT411" s="5"/>
      <c r="AW411" s="2"/>
      <c r="AX411" s="2"/>
      <c r="AY411" s="2"/>
      <c r="AZ411" s="2"/>
      <c r="BA411" s="2"/>
      <c r="BB411" s="2"/>
      <c r="BC411" s="2"/>
    </row>
    <row r="412" spans="14:55" s="1" customFormat="1" ht="20.25" customHeight="1" x14ac:dyDescent="0.25">
      <c r="N412" s="77"/>
      <c r="O412" s="3"/>
      <c r="Q412" s="4"/>
      <c r="R412" s="4"/>
      <c r="S412" s="4"/>
      <c r="T412" s="40"/>
      <c r="U412" s="17"/>
      <c r="V412" s="17"/>
      <c r="W412" s="17"/>
      <c r="X412" s="17"/>
      <c r="Z412" s="2"/>
      <c r="AA412" s="2"/>
      <c r="AB412" s="2"/>
      <c r="AC412" s="2"/>
      <c r="AD412" s="26"/>
      <c r="AE412" s="2"/>
      <c r="AF412" s="2"/>
      <c r="AG412" s="2"/>
      <c r="AH412" s="2"/>
      <c r="AT412" s="5"/>
      <c r="AW412" s="2"/>
      <c r="AX412" s="2"/>
      <c r="AY412" s="2"/>
      <c r="AZ412" s="2"/>
      <c r="BA412" s="2"/>
      <c r="BB412" s="2"/>
      <c r="BC412" s="2"/>
    </row>
    <row r="413" spans="14:55" s="1" customFormat="1" ht="20.25" customHeight="1" x14ac:dyDescent="0.25">
      <c r="N413" s="77"/>
      <c r="O413" s="3"/>
      <c r="Q413" s="4"/>
      <c r="R413" s="4"/>
      <c r="S413" s="4"/>
      <c r="T413" s="40"/>
      <c r="U413" s="17"/>
      <c r="V413" s="17"/>
      <c r="W413" s="17"/>
      <c r="X413" s="17"/>
      <c r="Z413" s="2"/>
      <c r="AA413" s="2"/>
      <c r="AB413" s="2"/>
      <c r="AC413" s="2"/>
      <c r="AD413" s="26"/>
      <c r="AE413" s="2"/>
      <c r="AF413" s="2"/>
      <c r="AG413" s="2"/>
      <c r="AH413" s="2"/>
      <c r="AT413" s="5"/>
      <c r="AW413" s="2"/>
      <c r="AX413" s="2"/>
      <c r="AY413" s="2"/>
      <c r="AZ413" s="2"/>
      <c r="BA413" s="2"/>
      <c r="BB413" s="2"/>
      <c r="BC413" s="2"/>
    </row>
    <row r="414" spans="14:55" s="1" customFormat="1" ht="20.25" customHeight="1" x14ac:dyDescent="0.25">
      <c r="N414" s="77"/>
      <c r="O414" s="3"/>
      <c r="Q414" s="4"/>
      <c r="R414" s="4"/>
      <c r="S414" s="4"/>
      <c r="T414" s="40"/>
      <c r="U414" s="17"/>
      <c r="V414" s="17"/>
      <c r="W414" s="17"/>
      <c r="X414" s="17"/>
      <c r="Z414" s="2"/>
      <c r="AA414" s="2"/>
      <c r="AB414" s="2"/>
      <c r="AC414" s="2"/>
      <c r="AD414" s="26"/>
      <c r="AE414" s="2"/>
      <c r="AF414" s="2"/>
      <c r="AG414" s="2"/>
      <c r="AH414" s="2"/>
      <c r="AT414" s="5"/>
      <c r="AW414" s="2"/>
      <c r="AX414" s="2"/>
      <c r="AY414" s="2"/>
      <c r="AZ414" s="2"/>
      <c r="BA414" s="2"/>
      <c r="BB414" s="2"/>
      <c r="BC414" s="2"/>
    </row>
    <row r="415" spans="14:55" s="1" customFormat="1" ht="20.25" customHeight="1" x14ac:dyDescent="0.25">
      <c r="N415" s="77"/>
      <c r="O415" s="3"/>
      <c r="Q415" s="4"/>
      <c r="R415" s="4"/>
      <c r="S415" s="4"/>
      <c r="T415" s="40"/>
      <c r="U415" s="17"/>
      <c r="V415" s="17"/>
      <c r="W415" s="17"/>
      <c r="X415" s="17"/>
      <c r="Z415" s="2"/>
      <c r="AA415" s="2"/>
      <c r="AB415" s="2"/>
      <c r="AC415" s="2"/>
      <c r="AD415" s="26"/>
      <c r="AE415" s="2"/>
      <c r="AF415" s="2"/>
      <c r="AG415" s="2"/>
      <c r="AH415" s="2"/>
      <c r="AT415" s="5"/>
      <c r="AW415" s="2"/>
      <c r="AX415" s="2"/>
      <c r="AY415" s="2"/>
      <c r="AZ415" s="2"/>
      <c r="BA415" s="2"/>
      <c r="BB415" s="2"/>
      <c r="BC415" s="2"/>
    </row>
    <row r="416" spans="14:55" s="1" customFormat="1" ht="20.25" customHeight="1" x14ac:dyDescent="0.25">
      <c r="N416" s="77"/>
      <c r="O416" s="3"/>
      <c r="Q416" s="4"/>
      <c r="R416" s="4"/>
      <c r="S416" s="4"/>
      <c r="T416" s="40"/>
      <c r="U416" s="17"/>
      <c r="V416" s="17"/>
      <c r="W416" s="17"/>
      <c r="X416" s="17"/>
      <c r="Z416" s="2"/>
      <c r="AA416" s="2"/>
      <c r="AB416" s="2"/>
      <c r="AC416" s="2"/>
      <c r="AD416" s="26"/>
      <c r="AE416" s="2"/>
      <c r="AF416" s="2"/>
      <c r="AG416" s="2"/>
      <c r="AH416" s="2"/>
      <c r="AT416" s="5"/>
      <c r="AW416" s="2"/>
      <c r="AX416" s="2"/>
      <c r="AY416" s="2"/>
      <c r="AZ416" s="2"/>
      <c r="BA416" s="2"/>
      <c r="BB416" s="2"/>
      <c r="BC416" s="2"/>
    </row>
    <row r="417" spans="14:55" s="1" customFormat="1" ht="20.25" customHeight="1" x14ac:dyDescent="0.25">
      <c r="N417" s="77"/>
      <c r="O417" s="3"/>
      <c r="Q417" s="4"/>
      <c r="R417" s="4"/>
      <c r="S417" s="4"/>
      <c r="T417" s="40"/>
      <c r="U417" s="17"/>
      <c r="V417" s="17"/>
      <c r="W417" s="17"/>
      <c r="X417" s="17"/>
      <c r="Z417" s="2"/>
      <c r="AA417" s="2"/>
      <c r="AB417" s="2"/>
      <c r="AC417" s="2"/>
      <c r="AD417" s="26"/>
      <c r="AE417" s="2"/>
      <c r="AF417" s="2"/>
      <c r="AG417" s="2"/>
      <c r="AH417" s="2"/>
      <c r="AT417" s="5"/>
      <c r="AW417" s="2"/>
      <c r="AX417" s="2"/>
      <c r="AY417" s="2"/>
      <c r="AZ417" s="2"/>
      <c r="BA417" s="2"/>
      <c r="BB417" s="2"/>
      <c r="BC417" s="2"/>
    </row>
    <row r="418" spans="14:55" s="1" customFormat="1" ht="20.25" customHeight="1" x14ac:dyDescent="0.25">
      <c r="N418" s="77"/>
      <c r="O418" s="3"/>
      <c r="Q418" s="4"/>
      <c r="R418" s="4"/>
      <c r="S418" s="4"/>
      <c r="T418" s="40"/>
      <c r="U418" s="17"/>
      <c r="V418" s="17"/>
      <c r="W418" s="17"/>
      <c r="X418" s="17"/>
      <c r="Z418" s="2"/>
      <c r="AA418" s="2"/>
      <c r="AB418" s="2"/>
      <c r="AC418" s="2"/>
      <c r="AD418" s="26"/>
      <c r="AE418" s="2"/>
      <c r="AF418" s="2"/>
      <c r="AG418" s="2"/>
      <c r="AH418" s="2"/>
      <c r="AT418" s="5"/>
      <c r="AW418" s="2"/>
      <c r="AX418" s="2"/>
      <c r="AY418" s="2"/>
      <c r="AZ418" s="2"/>
      <c r="BA418" s="2"/>
      <c r="BB418" s="2"/>
      <c r="BC418" s="2"/>
    </row>
    <row r="419" spans="14:55" s="1" customFormat="1" ht="20.25" customHeight="1" x14ac:dyDescent="0.25">
      <c r="N419" s="77"/>
      <c r="O419" s="3"/>
      <c r="Q419" s="4"/>
      <c r="R419" s="4"/>
      <c r="S419" s="4"/>
      <c r="T419" s="40"/>
      <c r="U419" s="17"/>
      <c r="V419" s="17"/>
      <c r="W419" s="17"/>
      <c r="X419" s="17"/>
      <c r="Z419" s="2"/>
      <c r="AA419" s="2"/>
      <c r="AB419" s="2"/>
      <c r="AC419" s="2"/>
      <c r="AD419" s="26"/>
      <c r="AE419" s="2"/>
      <c r="AF419" s="2"/>
      <c r="AG419" s="2"/>
      <c r="AH419" s="2"/>
      <c r="AT419" s="5"/>
      <c r="AW419" s="2"/>
      <c r="AX419" s="2"/>
      <c r="AY419" s="2"/>
      <c r="AZ419" s="2"/>
      <c r="BA419" s="2"/>
      <c r="BB419" s="2"/>
      <c r="BC419" s="2"/>
    </row>
    <row r="420" spans="14:55" s="1" customFormat="1" ht="20.25" customHeight="1" x14ac:dyDescent="0.25">
      <c r="N420" s="77"/>
      <c r="O420" s="3"/>
      <c r="Q420" s="4"/>
      <c r="R420" s="4"/>
      <c r="S420" s="4"/>
      <c r="T420" s="40"/>
      <c r="U420" s="17"/>
      <c r="V420" s="17"/>
      <c r="W420" s="17"/>
      <c r="X420" s="17"/>
      <c r="Z420" s="2"/>
      <c r="AA420" s="2"/>
      <c r="AB420" s="2"/>
      <c r="AC420" s="2"/>
      <c r="AD420" s="26"/>
      <c r="AE420" s="2"/>
      <c r="AF420" s="2"/>
      <c r="AG420" s="2"/>
      <c r="AH420" s="2"/>
      <c r="AT420" s="5"/>
      <c r="AW420" s="2"/>
      <c r="AX420" s="2"/>
      <c r="AY420" s="2"/>
      <c r="AZ420" s="2"/>
      <c r="BA420" s="2"/>
      <c r="BB420" s="2"/>
      <c r="BC420" s="2"/>
    </row>
    <row r="421" spans="14:55" s="1" customFormat="1" ht="20.25" customHeight="1" x14ac:dyDescent="0.25">
      <c r="N421" s="77"/>
      <c r="O421" s="3"/>
      <c r="Q421" s="4"/>
      <c r="R421" s="4"/>
      <c r="S421" s="4"/>
      <c r="T421" s="40"/>
      <c r="U421" s="17"/>
      <c r="V421" s="17"/>
      <c r="W421" s="17"/>
      <c r="X421" s="17"/>
      <c r="Z421" s="2"/>
      <c r="AA421" s="2"/>
      <c r="AB421" s="2"/>
      <c r="AC421" s="2"/>
      <c r="AD421" s="26"/>
      <c r="AE421" s="2"/>
      <c r="AF421" s="2"/>
      <c r="AG421" s="2"/>
      <c r="AH421" s="2"/>
      <c r="AT421" s="5"/>
      <c r="AW421" s="2"/>
      <c r="AX421" s="2"/>
      <c r="AY421" s="2"/>
      <c r="AZ421" s="2"/>
      <c r="BA421" s="2"/>
      <c r="BB421" s="2"/>
      <c r="BC421" s="2"/>
    </row>
    <row r="422" spans="14:55" s="1" customFormat="1" ht="20.25" customHeight="1" x14ac:dyDescent="0.25">
      <c r="N422" s="77"/>
      <c r="O422" s="3"/>
      <c r="Q422" s="4"/>
      <c r="R422" s="4"/>
      <c r="S422" s="4"/>
      <c r="T422" s="40"/>
      <c r="U422" s="17"/>
      <c r="V422" s="17"/>
      <c r="W422" s="17"/>
      <c r="X422" s="17"/>
      <c r="Z422" s="2"/>
      <c r="AA422" s="2"/>
      <c r="AB422" s="2"/>
      <c r="AC422" s="2"/>
      <c r="AD422" s="26"/>
      <c r="AE422" s="2"/>
      <c r="AF422" s="2"/>
      <c r="AG422" s="2"/>
      <c r="AH422" s="2"/>
      <c r="AT422" s="5"/>
      <c r="AW422" s="2"/>
      <c r="AX422" s="2"/>
      <c r="AY422" s="2"/>
      <c r="AZ422" s="2"/>
      <c r="BA422" s="2"/>
      <c r="BB422" s="2"/>
      <c r="BC422" s="2"/>
    </row>
    <row r="423" spans="14:55" s="1" customFormat="1" ht="20.25" customHeight="1" x14ac:dyDescent="0.25">
      <c r="N423" s="77"/>
      <c r="O423" s="3"/>
      <c r="Q423" s="4"/>
      <c r="R423" s="4"/>
      <c r="S423" s="4"/>
      <c r="T423" s="40"/>
      <c r="U423" s="17"/>
      <c r="V423" s="17"/>
      <c r="W423" s="17"/>
      <c r="X423" s="17"/>
      <c r="Z423" s="2"/>
      <c r="AA423" s="2"/>
      <c r="AB423" s="2"/>
      <c r="AC423" s="2"/>
      <c r="AD423" s="26"/>
      <c r="AE423" s="2"/>
      <c r="AF423" s="2"/>
      <c r="AG423" s="2"/>
      <c r="AH423" s="2"/>
      <c r="AT423" s="5"/>
      <c r="AW423" s="2"/>
      <c r="AX423" s="2"/>
      <c r="AY423" s="2"/>
      <c r="AZ423" s="2"/>
      <c r="BA423" s="2"/>
      <c r="BB423" s="2"/>
      <c r="BC423" s="2"/>
    </row>
    <row r="424" spans="14:55" s="1" customFormat="1" ht="20.25" customHeight="1" x14ac:dyDescent="0.25">
      <c r="N424" s="77"/>
      <c r="O424" s="3"/>
      <c r="Q424" s="4"/>
      <c r="R424" s="4"/>
      <c r="S424" s="4"/>
      <c r="T424" s="40"/>
      <c r="U424" s="17"/>
      <c r="V424" s="17"/>
      <c r="W424" s="17"/>
      <c r="X424" s="17"/>
      <c r="Z424" s="2"/>
      <c r="AA424" s="2"/>
      <c r="AB424" s="2"/>
      <c r="AC424" s="2"/>
      <c r="AD424" s="26"/>
      <c r="AE424" s="2"/>
      <c r="AF424" s="2"/>
      <c r="AG424" s="2"/>
      <c r="AH424" s="2"/>
      <c r="AT424" s="5"/>
      <c r="AW424" s="2"/>
      <c r="AX424" s="2"/>
      <c r="AY424" s="2"/>
      <c r="AZ424" s="2"/>
      <c r="BA424" s="2"/>
      <c r="BB424" s="2"/>
      <c r="BC424" s="2"/>
    </row>
    <row r="425" spans="14:55" s="1" customFormat="1" ht="20.25" customHeight="1" x14ac:dyDescent="0.25">
      <c r="N425" s="77"/>
      <c r="O425" s="3"/>
      <c r="Q425" s="4"/>
      <c r="R425" s="4"/>
      <c r="S425" s="4"/>
      <c r="T425" s="40"/>
      <c r="U425" s="17"/>
      <c r="V425" s="17"/>
      <c r="W425" s="17"/>
      <c r="X425" s="17"/>
      <c r="Z425" s="2"/>
      <c r="AA425" s="2"/>
      <c r="AB425" s="2"/>
      <c r="AC425" s="2"/>
      <c r="AD425" s="26"/>
      <c r="AE425" s="2"/>
      <c r="AF425" s="2"/>
      <c r="AG425" s="2"/>
      <c r="AH425" s="2"/>
      <c r="AT425" s="5"/>
      <c r="AW425" s="2"/>
      <c r="AX425" s="2"/>
      <c r="AY425" s="2"/>
      <c r="AZ425" s="2"/>
      <c r="BA425" s="2"/>
      <c r="BB425" s="2"/>
      <c r="BC425" s="2"/>
    </row>
    <row r="426" spans="14:55" s="1" customFormat="1" ht="20.25" customHeight="1" x14ac:dyDescent="0.25">
      <c r="N426" s="77"/>
      <c r="O426" s="3"/>
      <c r="Q426" s="4"/>
      <c r="R426" s="4"/>
      <c r="S426" s="4"/>
      <c r="T426" s="40"/>
      <c r="U426" s="17"/>
      <c r="V426" s="17"/>
      <c r="W426" s="17"/>
      <c r="X426" s="17"/>
      <c r="Z426" s="2"/>
      <c r="AA426" s="2"/>
      <c r="AB426" s="2"/>
      <c r="AC426" s="2"/>
      <c r="AD426" s="26"/>
      <c r="AE426" s="2"/>
      <c r="AF426" s="2"/>
      <c r="AG426" s="2"/>
      <c r="AH426" s="2"/>
      <c r="AT426" s="5"/>
      <c r="AW426" s="2"/>
      <c r="AX426" s="2"/>
      <c r="AY426" s="2"/>
      <c r="AZ426" s="2"/>
      <c r="BA426" s="2"/>
      <c r="BB426" s="2"/>
      <c r="BC426" s="2"/>
    </row>
    <row r="427" spans="14:55" s="1" customFormat="1" ht="20.25" customHeight="1" x14ac:dyDescent="0.25">
      <c r="N427" s="77"/>
      <c r="O427" s="3"/>
      <c r="Q427" s="4"/>
      <c r="R427" s="4"/>
      <c r="S427" s="4"/>
      <c r="T427" s="40"/>
      <c r="U427" s="17"/>
      <c r="V427" s="17"/>
      <c r="W427" s="17"/>
      <c r="X427" s="17"/>
      <c r="Z427" s="2"/>
      <c r="AA427" s="2"/>
      <c r="AB427" s="2"/>
      <c r="AC427" s="2"/>
      <c r="AD427" s="26"/>
      <c r="AE427" s="2"/>
      <c r="AF427" s="2"/>
      <c r="AG427" s="2"/>
      <c r="AH427" s="2"/>
      <c r="AT427" s="5"/>
      <c r="AW427" s="2"/>
      <c r="AX427" s="2"/>
      <c r="AY427" s="2"/>
      <c r="AZ427" s="2"/>
      <c r="BA427" s="2"/>
      <c r="BB427" s="2"/>
      <c r="BC427" s="2"/>
    </row>
    <row r="428" spans="14:55" s="1" customFormat="1" ht="20.25" customHeight="1" x14ac:dyDescent="0.25">
      <c r="N428" s="77"/>
      <c r="O428" s="3"/>
      <c r="Q428" s="4"/>
      <c r="R428" s="4"/>
      <c r="S428" s="4"/>
      <c r="T428" s="40"/>
      <c r="Z428" s="2"/>
      <c r="AA428" s="2"/>
      <c r="AB428" s="2"/>
      <c r="AC428" s="2"/>
      <c r="AD428" s="26"/>
      <c r="AE428" s="2"/>
      <c r="AF428" s="2"/>
      <c r="AG428" s="2"/>
      <c r="AH428" s="2"/>
      <c r="AT428" s="5"/>
      <c r="AW428" s="2"/>
      <c r="AX428" s="2"/>
      <c r="AY428" s="2"/>
      <c r="AZ428" s="2"/>
      <c r="BA428" s="2"/>
      <c r="BB428" s="2"/>
      <c r="BC428" s="2"/>
    </row>
    <row r="429" spans="14:55" s="1" customFormat="1" ht="20.25" customHeight="1" x14ac:dyDescent="0.25">
      <c r="N429" s="77"/>
      <c r="O429" s="3"/>
      <c r="Q429" s="4"/>
      <c r="R429" s="4"/>
      <c r="S429" s="4"/>
      <c r="T429" s="40"/>
      <c r="Z429" s="2"/>
      <c r="AA429" s="2"/>
      <c r="AB429" s="2"/>
      <c r="AC429" s="2"/>
      <c r="AD429" s="26"/>
      <c r="AE429" s="2"/>
      <c r="AF429" s="2"/>
      <c r="AG429" s="2"/>
      <c r="AH429" s="2"/>
      <c r="AT429" s="5"/>
      <c r="AW429" s="2"/>
      <c r="AX429" s="2"/>
      <c r="AY429" s="2"/>
      <c r="AZ429" s="2"/>
      <c r="BA429" s="2"/>
      <c r="BB429" s="2"/>
      <c r="BC429" s="2"/>
    </row>
    <row r="430" spans="14:55" s="1" customFormat="1" ht="20.25" customHeight="1" x14ac:dyDescent="0.25">
      <c r="N430" s="77"/>
      <c r="O430" s="3"/>
      <c r="Q430" s="4"/>
      <c r="R430" s="4"/>
      <c r="S430" s="4"/>
      <c r="T430" s="40"/>
      <c r="Z430" s="2"/>
      <c r="AA430" s="2"/>
      <c r="AB430" s="2"/>
      <c r="AC430" s="2"/>
      <c r="AD430" s="26"/>
      <c r="AE430" s="2"/>
      <c r="AF430" s="2"/>
      <c r="AG430" s="2"/>
      <c r="AH430" s="2"/>
      <c r="AT430" s="5"/>
      <c r="AW430" s="2"/>
      <c r="AX430" s="2"/>
      <c r="AY430" s="2"/>
      <c r="AZ430" s="2"/>
      <c r="BA430" s="2"/>
      <c r="BB430" s="2"/>
      <c r="BC430" s="2"/>
    </row>
    <row r="431" spans="14:55" s="1" customFormat="1" ht="20.25" customHeight="1" x14ac:dyDescent="0.25">
      <c r="N431" s="77"/>
      <c r="O431" s="3"/>
      <c r="Q431" s="4"/>
      <c r="R431" s="4"/>
      <c r="S431" s="4"/>
      <c r="T431" s="40"/>
      <c r="Z431" s="2"/>
      <c r="AA431" s="2"/>
      <c r="AB431" s="2"/>
      <c r="AC431" s="2"/>
      <c r="AD431" s="26"/>
      <c r="AE431" s="2"/>
      <c r="AF431" s="2"/>
      <c r="AG431" s="2"/>
      <c r="AH431" s="2"/>
      <c r="AT431" s="5"/>
      <c r="AW431" s="2"/>
      <c r="AX431" s="2"/>
      <c r="AY431" s="2"/>
      <c r="AZ431" s="2"/>
      <c r="BA431" s="2"/>
      <c r="BB431" s="2"/>
      <c r="BC431" s="2"/>
    </row>
    <row r="432" spans="14:55" s="1" customFormat="1" ht="20.25" customHeight="1" x14ac:dyDescent="0.25">
      <c r="N432" s="77"/>
      <c r="O432" s="3"/>
      <c r="Q432" s="4"/>
      <c r="R432" s="4"/>
      <c r="S432" s="4"/>
      <c r="T432" s="40"/>
      <c r="Z432" s="2"/>
      <c r="AA432" s="2"/>
      <c r="AB432" s="2"/>
      <c r="AC432" s="2"/>
      <c r="AD432" s="26"/>
      <c r="AE432" s="2"/>
      <c r="AF432" s="2"/>
      <c r="AG432" s="2"/>
      <c r="AH432" s="2"/>
      <c r="AT432" s="5"/>
      <c r="AW432" s="2"/>
      <c r="AX432" s="2"/>
      <c r="AY432" s="2"/>
      <c r="AZ432" s="2"/>
      <c r="BA432" s="2"/>
      <c r="BB432" s="2"/>
      <c r="BC432" s="2"/>
    </row>
    <row r="433" spans="14:55" s="1" customFormat="1" ht="20.25" customHeight="1" x14ac:dyDescent="0.25">
      <c r="N433" s="77"/>
      <c r="O433" s="3"/>
      <c r="Q433" s="4"/>
      <c r="R433" s="4"/>
      <c r="S433" s="4"/>
      <c r="T433" s="40"/>
      <c r="Z433" s="2"/>
      <c r="AA433" s="2"/>
      <c r="AB433" s="2"/>
      <c r="AC433" s="2"/>
      <c r="AD433" s="26"/>
      <c r="AE433" s="2"/>
      <c r="AF433" s="2"/>
      <c r="AG433" s="2"/>
      <c r="AH433" s="2"/>
      <c r="AT433" s="5"/>
      <c r="AW433" s="2"/>
      <c r="AX433" s="2"/>
      <c r="AY433" s="2"/>
      <c r="AZ433" s="2"/>
      <c r="BA433" s="2"/>
      <c r="BB433" s="2"/>
      <c r="BC433" s="2"/>
    </row>
    <row r="434" spans="14:55" s="1" customFormat="1" ht="20.25" customHeight="1" x14ac:dyDescent="0.25">
      <c r="N434" s="77"/>
      <c r="O434" s="3"/>
      <c r="Q434" s="4"/>
      <c r="R434" s="4"/>
      <c r="S434" s="4"/>
      <c r="T434" s="40"/>
      <c r="Z434" s="2"/>
      <c r="AA434" s="2"/>
      <c r="AB434" s="2"/>
      <c r="AC434" s="2"/>
      <c r="AD434" s="26"/>
      <c r="AE434" s="2"/>
      <c r="AF434" s="2"/>
      <c r="AG434" s="2"/>
      <c r="AH434" s="2"/>
      <c r="AT434" s="5"/>
      <c r="AW434" s="2"/>
      <c r="AX434" s="2"/>
      <c r="AY434" s="2"/>
      <c r="AZ434" s="2"/>
      <c r="BA434" s="2"/>
      <c r="BB434" s="2"/>
      <c r="BC434" s="2"/>
    </row>
    <row r="435" spans="14:55" s="1" customFormat="1" ht="20.25" customHeight="1" x14ac:dyDescent="0.25">
      <c r="N435" s="77"/>
      <c r="O435" s="3"/>
      <c r="Q435" s="4"/>
      <c r="R435" s="4"/>
      <c r="S435" s="4"/>
      <c r="T435" s="40"/>
      <c r="Z435" s="2"/>
      <c r="AA435" s="2"/>
      <c r="AB435" s="2"/>
      <c r="AC435" s="2"/>
      <c r="AD435" s="26"/>
      <c r="AE435" s="2"/>
      <c r="AF435" s="2"/>
      <c r="AG435" s="2"/>
      <c r="AH435" s="2"/>
      <c r="AT435" s="5"/>
      <c r="AW435" s="2"/>
      <c r="AX435" s="2"/>
      <c r="AY435" s="2"/>
      <c r="AZ435" s="2"/>
      <c r="BA435" s="2"/>
      <c r="BB435" s="2"/>
      <c r="BC435" s="2"/>
    </row>
    <row r="436" spans="14:55" s="1" customFormat="1" ht="20.25" customHeight="1" x14ac:dyDescent="0.25">
      <c r="N436" s="77"/>
      <c r="O436" s="3"/>
      <c r="Q436" s="4"/>
      <c r="R436" s="4"/>
      <c r="S436" s="4"/>
      <c r="T436" s="40"/>
      <c r="Z436" s="2"/>
      <c r="AA436" s="2"/>
      <c r="AB436" s="2"/>
      <c r="AC436" s="2"/>
      <c r="AD436" s="26"/>
      <c r="AE436" s="2"/>
      <c r="AF436" s="2"/>
      <c r="AG436" s="2"/>
      <c r="AH436" s="2"/>
      <c r="AT436" s="5"/>
      <c r="AW436" s="2"/>
      <c r="AX436" s="2"/>
      <c r="AY436" s="2"/>
      <c r="AZ436" s="2"/>
      <c r="BA436" s="2"/>
      <c r="BB436" s="2"/>
      <c r="BC436" s="2"/>
    </row>
    <row r="437" spans="14:55" s="1" customFormat="1" ht="20.25" customHeight="1" x14ac:dyDescent="0.25">
      <c r="N437" s="77"/>
      <c r="O437" s="3"/>
      <c r="Q437" s="4"/>
      <c r="R437" s="4"/>
      <c r="S437" s="4"/>
      <c r="T437" s="40"/>
      <c r="Z437" s="2"/>
      <c r="AA437" s="2"/>
      <c r="AB437" s="2"/>
      <c r="AC437" s="2"/>
      <c r="AD437" s="26"/>
      <c r="AE437" s="2"/>
      <c r="AF437" s="2"/>
      <c r="AG437" s="2"/>
      <c r="AH437" s="2"/>
      <c r="AT437" s="5"/>
      <c r="AW437" s="2"/>
      <c r="AX437" s="2"/>
      <c r="AY437" s="2"/>
      <c r="AZ437" s="2"/>
      <c r="BA437" s="2"/>
      <c r="BB437" s="2"/>
      <c r="BC437" s="2"/>
    </row>
    <row r="438" spans="14:55" s="1" customFormat="1" ht="20.25" customHeight="1" x14ac:dyDescent="0.25">
      <c r="N438" s="77"/>
      <c r="O438" s="3"/>
      <c r="Q438" s="4"/>
      <c r="R438" s="4"/>
      <c r="S438" s="4"/>
      <c r="T438" s="40"/>
      <c r="Z438" s="2"/>
      <c r="AA438" s="2"/>
      <c r="AB438" s="2"/>
      <c r="AC438" s="2"/>
      <c r="AD438" s="26"/>
      <c r="AE438" s="2"/>
      <c r="AF438" s="2"/>
      <c r="AG438" s="2"/>
      <c r="AH438" s="2"/>
      <c r="AT438" s="5"/>
      <c r="AW438" s="2"/>
      <c r="AX438" s="2"/>
      <c r="AY438" s="2"/>
      <c r="AZ438" s="2"/>
      <c r="BA438" s="2"/>
      <c r="BB438" s="2"/>
      <c r="BC438" s="2"/>
    </row>
    <row r="439" spans="14:55" s="1" customFormat="1" ht="20.25" customHeight="1" x14ac:dyDescent="0.25">
      <c r="N439" s="77"/>
      <c r="O439" s="3"/>
      <c r="Q439" s="4"/>
      <c r="R439" s="4"/>
      <c r="S439" s="4"/>
      <c r="T439" s="40"/>
      <c r="Z439" s="2"/>
      <c r="AA439" s="2"/>
      <c r="AB439" s="2"/>
      <c r="AC439" s="2"/>
      <c r="AD439" s="26"/>
      <c r="AE439" s="2"/>
      <c r="AF439" s="2"/>
      <c r="AG439" s="2"/>
      <c r="AH439" s="2"/>
      <c r="AT439" s="5"/>
      <c r="AU439" s="5"/>
      <c r="AV439" s="5"/>
      <c r="AW439" s="5"/>
      <c r="AX439" s="5"/>
      <c r="AY439" s="2"/>
      <c r="AZ439" s="2"/>
      <c r="BA439" s="2"/>
      <c r="BB439" s="2"/>
      <c r="BC439" s="2"/>
    </row>
    <row r="440" spans="14:55" s="1" customFormat="1" ht="20.25" customHeight="1" x14ac:dyDescent="0.25">
      <c r="N440" s="77"/>
      <c r="O440" s="3"/>
      <c r="Q440" s="4"/>
      <c r="R440" s="4"/>
      <c r="S440" s="4"/>
      <c r="T440" s="40"/>
      <c r="Z440" s="2"/>
      <c r="AA440" s="2"/>
      <c r="AB440" s="2"/>
      <c r="AC440" s="2"/>
      <c r="AD440" s="26"/>
      <c r="AE440" s="2"/>
      <c r="AF440" s="2"/>
      <c r="AG440" s="2"/>
      <c r="AH440" s="2"/>
      <c r="AT440" s="5"/>
      <c r="AU440" s="5"/>
      <c r="AV440" s="5"/>
      <c r="AW440" s="5"/>
      <c r="AX440" s="5"/>
      <c r="AY440" s="2"/>
      <c r="AZ440" s="2"/>
      <c r="BA440" s="2"/>
      <c r="BB440" s="2"/>
      <c r="BC440" s="2"/>
    </row>
    <row r="441" spans="14:55" s="1" customFormat="1" ht="20.25" customHeight="1" x14ac:dyDescent="0.25">
      <c r="N441" s="77"/>
      <c r="O441" s="3"/>
      <c r="Q441" s="4"/>
      <c r="R441" s="4"/>
      <c r="S441" s="4"/>
      <c r="T441" s="40"/>
      <c r="Z441" s="2"/>
      <c r="AA441" s="2"/>
      <c r="AB441" s="2"/>
      <c r="AC441" s="2"/>
      <c r="AD441" s="26"/>
      <c r="AE441" s="2"/>
      <c r="AF441" s="2"/>
      <c r="AG441" s="2"/>
      <c r="AH441" s="2"/>
      <c r="AT441" s="5"/>
      <c r="AU441" s="5"/>
      <c r="AV441" s="5"/>
      <c r="AW441" s="5"/>
      <c r="AX441" s="5"/>
      <c r="AY441" s="2"/>
      <c r="AZ441" s="2"/>
      <c r="BA441" s="2"/>
      <c r="BB441" s="2"/>
      <c r="BC441" s="2"/>
    </row>
    <row r="442" spans="14:55" s="1" customFormat="1" ht="20.25" customHeight="1" x14ac:dyDescent="0.25">
      <c r="N442" s="77"/>
      <c r="O442" s="3"/>
      <c r="Q442" s="4"/>
      <c r="R442" s="4"/>
      <c r="S442" s="4"/>
      <c r="T442" s="40"/>
      <c r="Z442" s="2"/>
      <c r="AA442" s="2"/>
      <c r="AB442" s="2"/>
      <c r="AC442" s="2"/>
      <c r="AD442" s="26"/>
      <c r="AE442" s="2"/>
      <c r="AF442" s="2"/>
      <c r="AG442" s="2"/>
      <c r="AH442" s="2"/>
      <c r="AT442" s="5"/>
      <c r="AU442" s="5"/>
      <c r="AV442" s="5"/>
      <c r="AW442" s="5"/>
      <c r="AX442" s="5"/>
      <c r="AY442" s="2"/>
      <c r="AZ442" s="2"/>
      <c r="BA442" s="2"/>
      <c r="BB442" s="2"/>
      <c r="BC442" s="2"/>
    </row>
    <row r="443" spans="14:55" s="1" customFormat="1" ht="20.25" customHeight="1" x14ac:dyDescent="0.25">
      <c r="N443" s="77"/>
      <c r="O443" s="3"/>
      <c r="Q443" s="4"/>
      <c r="R443" s="4"/>
      <c r="S443" s="4"/>
      <c r="T443" s="40"/>
      <c r="Z443" s="2"/>
      <c r="AA443" s="2"/>
      <c r="AB443" s="2"/>
      <c r="AC443" s="2"/>
      <c r="AD443" s="26"/>
      <c r="AE443" s="2"/>
      <c r="AF443" s="2"/>
      <c r="AG443" s="2"/>
      <c r="AH443" s="2"/>
      <c r="AT443" s="5"/>
      <c r="AU443" s="5"/>
      <c r="AV443" s="5"/>
      <c r="AW443" s="5"/>
      <c r="AX443" s="5"/>
      <c r="AY443" s="2"/>
      <c r="AZ443" s="2"/>
      <c r="BA443" s="2"/>
      <c r="BB443" s="2"/>
      <c r="BC443" s="2"/>
    </row>
    <row r="444" spans="14:55" s="1" customFormat="1" ht="20.25" customHeight="1" x14ac:dyDescent="0.25">
      <c r="N444" s="77"/>
      <c r="O444" s="3"/>
      <c r="Q444" s="4"/>
      <c r="R444" s="4"/>
      <c r="S444" s="4"/>
      <c r="T444" s="40"/>
      <c r="Z444" s="2"/>
      <c r="AA444" s="2"/>
      <c r="AB444" s="2"/>
      <c r="AC444" s="2"/>
      <c r="AD444" s="26"/>
      <c r="AE444" s="2"/>
      <c r="AF444" s="2"/>
      <c r="AG444" s="2"/>
      <c r="AH444" s="2"/>
      <c r="AT444" s="5"/>
      <c r="AU444" s="5"/>
      <c r="AV444" s="5"/>
      <c r="AW444" s="5"/>
      <c r="AX444" s="5"/>
      <c r="AY444" s="2"/>
      <c r="AZ444" s="2"/>
      <c r="BA444" s="2"/>
      <c r="BB444" s="2"/>
      <c r="BC444" s="2"/>
    </row>
    <row r="445" spans="14:55" s="1" customFormat="1" ht="20.25" customHeight="1" x14ac:dyDescent="0.25">
      <c r="N445" s="77"/>
      <c r="O445" s="3"/>
      <c r="Q445" s="4"/>
      <c r="R445" s="4"/>
      <c r="S445" s="4"/>
      <c r="T445" s="40"/>
      <c r="Z445" s="2"/>
      <c r="AA445" s="2"/>
      <c r="AB445" s="2"/>
      <c r="AC445" s="2"/>
      <c r="AD445" s="26"/>
      <c r="AE445" s="2"/>
      <c r="AF445" s="2"/>
      <c r="AG445" s="2"/>
      <c r="AH445" s="2"/>
      <c r="AT445" s="5"/>
      <c r="AU445" s="5"/>
      <c r="AV445" s="5"/>
      <c r="AW445" s="5"/>
      <c r="AX445" s="5"/>
      <c r="AY445" s="2"/>
      <c r="AZ445" s="2"/>
      <c r="BA445" s="2"/>
      <c r="BB445" s="2"/>
      <c r="BC445" s="2"/>
    </row>
    <row r="446" spans="14:55" s="1" customFormat="1" ht="20.25" customHeight="1" x14ac:dyDescent="0.25">
      <c r="N446" s="77"/>
      <c r="O446" s="3"/>
      <c r="Q446" s="4"/>
      <c r="R446" s="4"/>
      <c r="S446" s="4"/>
      <c r="T446" s="40"/>
      <c r="Z446" s="2"/>
      <c r="AA446" s="2"/>
      <c r="AB446" s="2"/>
      <c r="AC446" s="2"/>
      <c r="AD446" s="26"/>
      <c r="AE446" s="2"/>
      <c r="AF446" s="2"/>
      <c r="AG446" s="2"/>
      <c r="AH446" s="2"/>
      <c r="AT446" s="5"/>
      <c r="AW446" s="2"/>
      <c r="AX446" s="2"/>
      <c r="AY446" s="2"/>
      <c r="AZ446" s="2"/>
      <c r="BA446" s="2"/>
      <c r="BB446" s="2"/>
      <c r="BC446" s="2"/>
    </row>
    <row r="447" spans="14:55" s="1" customFormat="1" ht="20.25" customHeight="1" x14ac:dyDescent="0.25">
      <c r="N447" s="77"/>
      <c r="O447" s="3"/>
      <c r="Q447" s="4"/>
      <c r="R447" s="4"/>
      <c r="S447" s="4"/>
      <c r="T447" s="40"/>
      <c r="Z447" s="2"/>
      <c r="AA447" s="2"/>
      <c r="AB447" s="2"/>
      <c r="AC447" s="2"/>
      <c r="AD447" s="26"/>
      <c r="AE447" s="2"/>
      <c r="AF447" s="2"/>
      <c r="AG447" s="2"/>
      <c r="AH447" s="2"/>
      <c r="AT447" s="5"/>
      <c r="AW447" s="2"/>
      <c r="AX447" s="2"/>
      <c r="AY447" s="2"/>
      <c r="AZ447" s="2"/>
      <c r="BA447" s="2"/>
      <c r="BB447" s="2"/>
      <c r="BC447" s="2"/>
    </row>
    <row r="448" spans="14:55" s="1" customFormat="1" ht="20.25" customHeight="1" x14ac:dyDescent="0.25">
      <c r="N448" s="77"/>
      <c r="O448" s="3"/>
      <c r="Q448" s="4"/>
      <c r="R448" s="4"/>
      <c r="S448" s="4"/>
      <c r="T448" s="40"/>
      <c r="Z448" s="2"/>
      <c r="AA448" s="2"/>
      <c r="AD448" s="26"/>
      <c r="AE448" s="2"/>
      <c r="AF448" s="2"/>
      <c r="AG448" s="2"/>
      <c r="AH448" s="2"/>
      <c r="AT448" s="5"/>
      <c r="AW448" s="2"/>
      <c r="AX448" s="2"/>
      <c r="AY448" s="2"/>
      <c r="AZ448" s="2"/>
      <c r="BA448" s="2"/>
      <c r="BB448" s="2"/>
      <c r="BC448" s="2"/>
    </row>
    <row r="449" spans="14:75" s="1" customFormat="1" ht="20.25" customHeight="1" x14ac:dyDescent="0.25">
      <c r="N449" s="77"/>
      <c r="O449" s="3"/>
      <c r="Q449" s="4"/>
      <c r="R449" s="4"/>
      <c r="S449" s="4"/>
      <c r="T449" s="40"/>
      <c r="Z449" s="2"/>
      <c r="AA449" s="2"/>
      <c r="AD449" s="26"/>
      <c r="AE449" s="2"/>
      <c r="AF449" s="2"/>
      <c r="AG449" s="2"/>
      <c r="AH449" s="2"/>
      <c r="AT449" s="5"/>
      <c r="AW449" s="2"/>
      <c r="AX449" s="2"/>
      <c r="AY449" s="2"/>
      <c r="AZ449" s="2"/>
      <c r="BA449" s="2"/>
      <c r="BB449" s="2"/>
      <c r="BC449" s="2"/>
    </row>
    <row r="450" spans="14:75" s="1" customFormat="1" ht="20.25" customHeight="1" x14ac:dyDescent="0.25">
      <c r="N450" s="77"/>
      <c r="O450" s="3"/>
      <c r="Q450" s="4"/>
      <c r="R450" s="4"/>
      <c r="S450" s="4"/>
      <c r="T450" s="40"/>
      <c r="Z450" s="2"/>
      <c r="AA450" s="2"/>
      <c r="AD450" s="26"/>
      <c r="AE450" s="2"/>
      <c r="AF450" s="2"/>
      <c r="AG450" s="2"/>
      <c r="AH450" s="2"/>
      <c r="AT450" s="5"/>
      <c r="AW450" s="2"/>
      <c r="AX450" s="2"/>
      <c r="AY450" s="2"/>
      <c r="AZ450" s="2"/>
      <c r="BA450" s="2"/>
      <c r="BB450" s="2"/>
      <c r="BC450" s="2"/>
    </row>
    <row r="451" spans="14:75" s="1" customFormat="1" ht="20.25" customHeight="1" x14ac:dyDescent="0.25">
      <c r="N451" s="77"/>
      <c r="O451" s="3"/>
      <c r="Q451" s="4"/>
      <c r="R451" s="4"/>
      <c r="S451" s="4"/>
      <c r="T451" s="40"/>
      <c r="Z451" s="2"/>
      <c r="AA451" s="2"/>
      <c r="AD451" s="26"/>
      <c r="AE451" s="2"/>
      <c r="AF451" s="2"/>
      <c r="AG451" s="2"/>
      <c r="AH451" s="2"/>
      <c r="AT451" s="5"/>
      <c r="AW451" s="2"/>
      <c r="AX451" s="2"/>
      <c r="AY451" s="2"/>
      <c r="AZ451" s="2"/>
      <c r="BA451" s="2"/>
      <c r="BB451" s="2"/>
      <c r="BC451" s="2"/>
    </row>
    <row r="452" spans="14:75" s="1" customFormat="1" ht="20.25" customHeight="1" x14ac:dyDescent="0.25">
      <c r="N452" s="77"/>
      <c r="O452" s="3"/>
      <c r="Q452" s="4"/>
      <c r="R452" s="4"/>
      <c r="S452" s="4"/>
      <c r="T452" s="40"/>
      <c r="Z452" s="2"/>
      <c r="AA452" s="2"/>
      <c r="AD452" s="26"/>
      <c r="AE452" s="2"/>
      <c r="AF452" s="2"/>
      <c r="AG452" s="2"/>
      <c r="AH452" s="2"/>
      <c r="AT452" s="5"/>
      <c r="AW452" s="2"/>
      <c r="AX452" s="2"/>
      <c r="AY452" s="2"/>
      <c r="AZ452" s="2"/>
      <c r="BA452" s="2"/>
      <c r="BB452" s="2"/>
      <c r="BC452" s="2"/>
    </row>
    <row r="453" spans="14:75" s="1" customFormat="1" ht="20.25" customHeight="1" x14ac:dyDescent="0.25">
      <c r="N453" s="77"/>
      <c r="O453" s="3"/>
      <c r="Q453" s="4"/>
      <c r="R453" s="4"/>
      <c r="S453" s="4"/>
      <c r="T453" s="40"/>
      <c r="Z453" s="2"/>
      <c r="AA453" s="2"/>
      <c r="AD453" s="26"/>
      <c r="AE453" s="2"/>
      <c r="AF453" s="2"/>
      <c r="AG453" s="2"/>
      <c r="AH453" s="2"/>
      <c r="AT453" s="5"/>
      <c r="AW453" s="2"/>
      <c r="AX453" s="2"/>
      <c r="AY453" s="2"/>
      <c r="AZ453" s="2"/>
      <c r="BA453" s="2"/>
      <c r="BB453" s="2"/>
      <c r="BC453" s="2"/>
    </row>
    <row r="454" spans="14:75" s="1" customFormat="1" ht="20.25" customHeight="1" x14ac:dyDescent="0.25">
      <c r="N454" s="77"/>
      <c r="O454" s="3"/>
      <c r="Q454" s="4"/>
      <c r="R454" s="4"/>
      <c r="S454" s="4"/>
      <c r="T454" s="40"/>
      <c r="Z454" s="2"/>
      <c r="AA454" s="2"/>
      <c r="AD454" s="26"/>
      <c r="AE454" s="2"/>
      <c r="AF454" s="2"/>
      <c r="AG454" s="2"/>
      <c r="AH454" s="2"/>
      <c r="AT454" s="5"/>
      <c r="AW454" s="2"/>
      <c r="AX454" s="2"/>
      <c r="AY454" s="2"/>
      <c r="AZ454" s="2"/>
      <c r="BA454" s="2"/>
      <c r="BB454" s="2"/>
      <c r="BC454" s="2"/>
    </row>
    <row r="455" spans="14:75" s="1" customFormat="1" ht="20.25" customHeight="1" x14ac:dyDescent="0.25">
      <c r="N455" s="77"/>
      <c r="O455" s="3"/>
      <c r="Q455" s="4"/>
      <c r="R455" s="4"/>
      <c r="S455" s="4"/>
      <c r="T455" s="40"/>
      <c r="Z455" s="2"/>
      <c r="AA455" s="2"/>
      <c r="AD455" s="26"/>
      <c r="AE455" s="2"/>
      <c r="AF455" s="2"/>
      <c r="AG455" s="2"/>
      <c r="AH455" s="2"/>
      <c r="AT455" s="5"/>
      <c r="AW455" s="2"/>
      <c r="AX455" s="2"/>
      <c r="AY455" s="2"/>
      <c r="AZ455" s="2"/>
      <c r="BA455" s="2"/>
      <c r="BB455" s="2"/>
      <c r="BC455" s="2"/>
    </row>
    <row r="456" spans="14:75" s="1" customFormat="1" ht="20.25" customHeight="1" x14ac:dyDescent="0.25">
      <c r="N456" s="77"/>
      <c r="O456" s="3"/>
      <c r="Q456" s="4"/>
      <c r="R456" s="4"/>
      <c r="S456" s="4"/>
      <c r="T456" s="40"/>
      <c r="Z456" s="2"/>
      <c r="AA456" s="2"/>
      <c r="AD456" s="26"/>
      <c r="AE456" s="2"/>
      <c r="AF456" s="2"/>
      <c r="AG456" s="2"/>
      <c r="AH456" s="2"/>
      <c r="AT456" s="5"/>
      <c r="AW456" s="2"/>
      <c r="AX456" s="2"/>
      <c r="AY456" s="2"/>
      <c r="AZ456" s="2"/>
      <c r="BA456" s="2"/>
      <c r="BB456" s="2"/>
      <c r="BC456" s="2"/>
      <c r="BP456" s="2"/>
      <c r="BQ456" s="2"/>
      <c r="BV456" s="2"/>
      <c r="BW456" s="2"/>
    </row>
    <row r="457" spans="14:75" s="1" customFormat="1" ht="20.25" customHeight="1" x14ac:dyDescent="0.25">
      <c r="N457" s="77"/>
      <c r="O457" s="3"/>
      <c r="Q457" s="4"/>
      <c r="R457" s="4"/>
      <c r="S457" s="4"/>
      <c r="T457" s="40"/>
      <c r="Z457" s="2"/>
      <c r="AA457" s="2"/>
      <c r="AD457" s="26"/>
      <c r="AE457" s="2"/>
      <c r="AF457" s="2"/>
      <c r="AG457" s="2"/>
      <c r="AH457" s="2"/>
      <c r="AT457" s="5"/>
      <c r="AW457" s="2"/>
      <c r="AX457" s="2"/>
      <c r="BA457" s="2"/>
      <c r="BB457" s="2"/>
      <c r="BC457" s="2"/>
      <c r="BP457" s="2"/>
      <c r="BQ457" s="2"/>
      <c r="BS457" s="17"/>
      <c r="BT457" s="17"/>
      <c r="BU457" s="17"/>
      <c r="BV457" s="17"/>
      <c r="BW457" s="17"/>
    </row>
    <row r="458" spans="14:75" s="1" customFormat="1" ht="20.25" customHeight="1" x14ac:dyDescent="0.25">
      <c r="N458" s="77"/>
      <c r="O458" s="3"/>
      <c r="Q458" s="4"/>
      <c r="R458" s="4"/>
      <c r="S458" s="4"/>
      <c r="T458" s="40"/>
      <c r="Z458" s="2"/>
      <c r="AA458" s="2"/>
      <c r="AD458" s="26"/>
      <c r="AE458" s="2"/>
      <c r="AF458" s="2"/>
      <c r="AG458" s="2"/>
      <c r="AH458" s="2"/>
      <c r="AT458" s="5"/>
      <c r="AW458" s="2"/>
      <c r="AX458" s="2"/>
      <c r="BA458" s="2"/>
      <c r="BB458" s="2"/>
      <c r="BC458" s="2"/>
    </row>
    <row r="459" spans="14:75" s="1" customFormat="1" ht="20.25" customHeight="1" x14ac:dyDescent="0.25">
      <c r="N459" s="77"/>
      <c r="O459" s="3"/>
      <c r="Q459" s="4"/>
      <c r="R459" s="4"/>
      <c r="S459" s="4"/>
      <c r="T459" s="40"/>
      <c r="Z459" s="2"/>
      <c r="AA459" s="2"/>
      <c r="AD459" s="26"/>
      <c r="AE459" s="2"/>
      <c r="AF459" s="2"/>
      <c r="AG459" s="2"/>
      <c r="AH459" s="2"/>
      <c r="AT459" s="5"/>
      <c r="AW459" s="2"/>
      <c r="AX459" s="2"/>
      <c r="BA459" s="2"/>
      <c r="BB459" s="2"/>
      <c r="BC459" s="2"/>
      <c r="BP459" s="2"/>
      <c r="BQ459" s="2"/>
      <c r="BS459" s="17"/>
      <c r="BT459" s="17"/>
      <c r="BU459" s="17"/>
      <c r="BV459" s="17"/>
      <c r="BW459" s="17"/>
    </row>
    <row r="460" spans="14:75" s="1" customFormat="1" ht="20.25" customHeight="1" x14ac:dyDescent="0.25">
      <c r="N460" s="77"/>
      <c r="O460" s="3"/>
      <c r="Q460" s="4"/>
      <c r="R460" s="4"/>
      <c r="S460" s="4"/>
      <c r="T460" s="40"/>
      <c r="Z460" s="2"/>
      <c r="AA460" s="2"/>
      <c r="AD460" s="26"/>
      <c r="AE460" s="2"/>
      <c r="AF460" s="2"/>
      <c r="AG460" s="2"/>
      <c r="AH460" s="2"/>
      <c r="AT460" s="5"/>
      <c r="AW460" s="2"/>
      <c r="AX460" s="2"/>
      <c r="BA460" s="2"/>
      <c r="BB460" s="2"/>
      <c r="BC460" s="2"/>
    </row>
    <row r="461" spans="14:75" s="1" customFormat="1" ht="20.25" customHeight="1" x14ac:dyDescent="0.25">
      <c r="N461" s="77"/>
      <c r="O461" s="3"/>
      <c r="Q461" s="4"/>
      <c r="R461" s="4"/>
      <c r="S461" s="4"/>
      <c r="T461" s="40"/>
      <c r="Z461" s="2"/>
      <c r="AA461" s="2"/>
      <c r="AD461" s="26"/>
      <c r="AE461" s="2"/>
      <c r="AF461" s="2"/>
      <c r="AG461" s="2"/>
      <c r="AH461" s="2"/>
      <c r="AT461" s="5"/>
      <c r="AW461" s="2"/>
      <c r="AX461" s="2"/>
      <c r="BA461" s="2"/>
      <c r="BB461" s="2"/>
      <c r="BC461" s="2"/>
      <c r="BP461" s="2"/>
      <c r="BQ461" s="2"/>
      <c r="BS461" s="17"/>
      <c r="BT461" s="17"/>
      <c r="BU461" s="17"/>
      <c r="BV461" s="17"/>
      <c r="BW461" s="17"/>
    </row>
    <row r="462" spans="14:75" s="1" customFormat="1" ht="20.25" customHeight="1" x14ac:dyDescent="0.25">
      <c r="N462" s="77"/>
      <c r="O462" s="3"/>
      <c r="Q462" s="4"/>
      <c r="R462" s="4"/>
      <c r="S462" s="4"/>
      <c r="T462" s="40"/>
      <c r="Z462" s="2"/>
      <c r="AA462" s="2"/>
      <c r="AD462" s="26"/>
      <c r="AE462" s="2"/>
      <c r="AF462" s="2"/>
      <c r="AG462" s="2"/>
      <c r="AH462" s="2"/>
      <c r="AT462" s="5"/>
      <c r="AW462" s="2"/>
      <c r="AX462" s="2"/>
      <c r="BA462" s="2"/>
      <c r="BB462" s="2"/>
      <c r="BC462" s="2"/>
    </row>
    <row r="463" spans="14:75" s="1" customFormat="1" ht="20.25" customHeight="1" x14ac:dyDescent="0.25">
      <c r="N463" s="77"/>
      <c r="O463" s="3"/>
      <c r="Q463" s="4"/>
      <c r="R463" s="4"/>
      <c r="S463" s="4"/>
      <c r="T463" s="40"/>
      <c r="Z463" s="2"/>
      <c r="AA463" s="2"/>
      <c r="AD463" s="26"/>
      <c r="AE463" s="2"/>
      <c r="AF463" s="2"/>
      <c r="AG463" s="2"/>
      <c r="AH463" s="2"/>
      <c r="AT463" s="5"/>
      <c r="AW463" s="2"/>
      <c r="AX463" s="2"/>
      <c r="BA463" s="2"/>
      <c r="BB463" s="2"/>
      <c r="BC463" s="2"/>
      <c r="BP463" s="2"/>
      <c r="BQ463" s="2"/>
    </row>
    <row r="464" spans="14:75" s="1" customFormat="1" ht="20.25" customHeight="1" x14ac:dyDescent="0.25">
      <c r="N464" s="77"/>
      <c r="O464" s="3"/>
      <c r="Q464" s="4"/>
      <c r="R464" s="4"/>
      <c r="S464" s="4"/>
      <c r="T464" s="40"/>
      <c r="Z464" s="2"/>
      <c r="AA464" s="2"/>
      <c r="AD464" s="26"/>
      <c r="AE464" s="2"/>
      <c r="AF464" s="2"/>
      <c r="AG464" s="2"/>
      <c r="AH464" s="2"/>
      <c r="AT464" s="5"/>
      <c r="AW464" s="2"/>
      <c r="AX464" s="2"/>
      <c r="BA464" s="2"/>
      <c r="BB464" s="2"/>
      <c r="BC464" s="2"/>
      <c r="BP464" s="2"/>
      <c r="BQ464" s="2"/>
      <c r="BS464" s="17"/>
      <c r="BT464" s="17"/>
      <c r="BU464" s="17"/>
      <c r="BV464" s="17"/>
      <c r="BW464" s="17"/>
    </row>
    <row r="465" spans="14:75" s="1" customFormat="1" ht="20.25" customHeight="1" x14ac:dyDescent="0.25">
      <c r="N465" s="77"/>
      <c r="O465" s="3"/>
      <c r="Q465" s="4"/>
      <c r="R465" s="4"/>
      <c r="S465" s="4"/>
      <c r="T465" s="40"/>
      <c r="Z465" s="2"/>
      <c r="AA465" s="2"/>
      <c r="AD465" s="26"/>
      <c r="AE465" s="2"/>
      <c r="AF465" s="2"/>
      <c r="AG465" s="2"/>
      <c r="AH465" s="2"/>
      <c r="AT465" s="5"/>
      <c r="AW465" s="2"/>
      <c r="AX465" s="2"/>
      <c r="BA465" s="2"/>
      <c r="BB465" s="2"/>
      <c r="BC465" s="2"/>
    </row>
    <row r="466" spans="14:75" s="1" customFormat="1" ht="20.25" customHeight="1" x14ac:dyDescent="0.25">
      <c r="N466" s="77"/>
      <c r="O466" s="3"/>
      <c r="Q466" s="4"/>
      <c r="R466" s="4"/>
      <c r="S466" s="4"/>
      <c r="T466" s="40"/>
      <c r="Z466" s="2"/>
      <c r="AA466" s="2"/>
      <c r="AD466" s="26"/>
      <c r="AE466" s="2"/>
      <c r="AF466" s="2"/>
      <c r="AG466" s="2"/>
      <c r="AH466" s="2"/>
      <c r="AT466" s="5"/>
      <c r="AW466" s="2"/>
      <c r="AX466" s="2"/>
      <c r="BA466" s="2"/>
      <c r="BB466" s="2"/>
      <c r="BC466" s="2"/>
      <c r="BP466" s="2"/>
      <c r="BQ466" s="2"/>
      <c r="BS466" s="17"/>
      <c r="BT466" s="17"/>
      <c r="BU466" s="17"/>
      <c r="BV466" s="17"/>
      <c r="BW466" s="17"/>
    </row>
    <row r="467" spans="14:75" s="1" customFormat="1" ht="20.25" customHeight="1" x14ac:dyDescent="0.25">
      <c r="N467" s="77"/>
      <c r="O467" s="3"/>
      <c r="Q467" s="4"/>
      <c r="R467" s="4"/>
      <c r="S467" s="4"/>
      <c r="T467" s="40"/>
      <c r="Z467" s="2"/>
      <c r="AA467" s="2"/>
      <c r="AD467" s="26"/>
      <c r="AE467" s="2"/>
      <c r="AF467" s="2"/>
      <c r="AG467" s="2"/>
      <c r="AH467" s="2"/>
      <c r="AT467" s="5"/>
      <c r="AW467" s="2"/>
      <c r="AX467" s="2"/>
      <c r="BA467" s="2"/>
      <c r="BB467" s="2"/>
      <c r="BC467" s="2"/>
    </row>
    <row r="468" spans="14:75" s="1" customFormat="1" ht="20.25" customHeight="1" x14ac:dyDescent="0.25">
      <c r="N468" s="77"/>
      <c r="O468" s="3"/>
      <c r="Q468" s="4"/>
      <c r="R468" s="4"/>
      <c r="S468" s="4"/>
      <c r="T468" s="40"/>
      <c r="Z468" s="2"/>
      <c r="AA468" s="2"/>
      <c r="AD468" s="26"/>
      <c r="AE468" s="2"/>
      <c r="AF468" s="2"/>
      <c r="AG468" s="2"/>
      <c r="AH468" s="2"/>
      <c r="AT468" s="5"/>
      <c r="AW468" s="2"/>
      <c r="AX468" s="2"/>
      <c r="BA468" s="2"/>
      <c r="BB468" s="2"/>
      <c r="BC468" s="2"/>
      <c r="BP468" s="2"/>
      <c r="BQ468" s="2"/>
      <c r="BV468" s="17"/>
      <c r="BW468" s="17"/>
    </row>
    <row r="469" spans="14:75" s="1" customFormat="1" ht="20.25" customHeight="1" x14ac:dyDescent="0.25">
      <c r="N469" s="77"/>
      <c r="O469" s="3"/>
      <c r="Q469" s="4"/>
      <c r="R469" s="4"/>
      <c r="S469" s="4"/>
      <c r="T469" s="40"/>
      <c r="Z469" s="2"/>
      <c r="AA469" s="2"/>
      <c r="AD469" s="26"/>
      <c r="AE469" s="2"/>
      <c r="AF469" s="2"/>
      <c r="AG469" s="2"/>
      <c r="AH469" s="2"/>
      <c r="AT469" s="5"/>
      <c r="AW469" s="2"/>
      <c r="AX469" s="2"/>
      <c r="BA469" s="2"/>
      <c r="BB469" s="2"/>
      <c r="BC469" s="2"/>
    </row>
    <row r="470" spans="14:75" s="1" customFormat="1" ht="20.25" customHeight="1" x14ac:dyDescent="0.25">
      <c r="N470" s="77"/>
      <c r="O470" s="3"/>
      <c r="Q470" s="4"/>
      <c r="R470" s="4"/>
      <c r="S470" s="4"/>
      <c r="T470" s="40"/>
      <c r="Z470" s="2"/>
      <c r="AA470" s="2"/>
      <c r="AD470" s="26"/>
      <c r="AE470" s="2"/>
      <c r="AF470" s="2"/>
      <c r="AG470" s="2"/>
      <c r="AH470" s="2"/>
      <c r="AT470" s="5"/>
      <c r="AW470" s="2"/>
      <c r="AX470" s="2"/>
      <c r="BA470" s="2"/>
      <c r="BB470" s="2"/>
      <c r="BC470" s="2"/>
      <c r="BP470" s="2"/>
      <c r="BQ470" s="2"/>
    </row>
    <row r="471" spans="14:75" s="1" customFormat="1" ht="20.25" customHeight="1" x14ac:dyDescent="0.25">
      <c r="N471" s="77"/>
      <c r="O471" s="3"/>
      <c r="Q471" s="4"/>
      <c r="R471" s="4"/>
      <c r="S471" s="4"/>
      <c r="T471" s="40"/>
      <c r="U471" s="17"/>
      <c r="V471" s="4"/>
      <c r="W471" s="4"/>
      <c r="X471" s="4"/>
      <c r="Z471" s="2"/>
      <c r="AA471" s="2"/>
      <c r="AD471" s="26"/>
      <c r="AE471" s="2"/>
      <c r="AF471" s="2"/>
      <c r="AG471" s="2"/>
      <c r="AH471" s="2"/>
      <c r="AT471" s="5"/>
      <c r="AW471" s="2"/>
      <c r="AX471" s="2"/>
      <c r="BA471" s="2"/>
      <c r="BB471" s="2"/>
      <c r="BC471" s="2"/>
      <c r="BP471" s="2"/>
      <c r="BQ471" s="2"/>
      <c r="BV471" s="17"/>
      <c r="BW471" s="17"/>
    </row>
    <row r="472" spans="14:75" s="1" customFormat="1" ht="20.25" customHeight="1" x14ac:dyDescent="0.25">
      <c r="N472" s="77"/>
      <c r="O472" s="3"/>
      <c r="Q472" s="4"/>
      <c r="R472" s="4"/>
      <c r="S472" s="4"/>
      <c r="T472" s="40"/>
      <c r="U472" s="17"/>
      <c r="V472" s="4"/>
      <c r="W472" s="4"/>
      <c r="X472" s="4"/>
      <c r="Z472" s="2"/>
      <c r="AA472" s="2"/>
      <c r="AD472" s="26"/>
      <c r="AE472" s="2"/>
      <c r="AF472" s="2"/>
      <c r="AG472" s="2"/>
      <c r="AH472" s="2"/>
      <c r="AT472" s="5"/>
      <c r="AW472" s="2"/>
      <c r="AX472" s="2"/>
      <c r="BA472" s="2"/>
      <c r="BB472" s="2"/>
      <c r="BC472" s="2"/>
    </row>
    <row r="473" spans="14:75" s="1" customFormat="1" ht="20.25" customHeight="1" x14ac:dyDescent="0.25">
      <c r="N473" s="77"/>
      <c r="O473" s="3"/>
      <c r="Q473" s="4"/>
      <c r="R473" s="4"/>
      <c r="S473" s="4"/>
      <c r="T473" s="40"/>
      <c r="U473" s="17"/>
      <c r="V473" s="4"/>
      <c r="W473" s="4"/>
      <c r="X473" s="4"/>
      <c r="Z473" s="2"/>
      <c r="AA473" s="2"/>
      <c r="AD473" s="26"/>
      <c r="AE473" s="2"/>
      <c r="AF473" s="2"/>
      <c r="AG473" s="2"/>
      <c r="AH473" s="2"/>
      <c r="AT473" s="5"/>
      <c r="AW473" s="2"/>
      <c r="AX473" s="2"/>
      <c r="BA473" s="2"/>
      <c r="BB473" s="2"/>
      <c r="BC473" s="2"/>
      <c r="BP473" s="2"/>
      <c r="BQ473" s="2"/>
      <c r="BV473" s="17"/>
      <c r="BW473" s="17"/>
    </row>
    <row r="474" spans="14:75" s="1" customFormat="1" ht="20.25" customHeight="1" x14ac:dyDescent="0.25">
      <c r="N474" s="77"/>
      <c r="O474" s="3"/>
      <c r="Q474" s="4"/>
      <c r="R474" s="4"/>
      <c r="S474" s="4"/>
      <c r="T474" s="40"/>
      <c r="U474" s="17"/>
      <c r="V474" s="4"/>
      <c r="W474" s="4"/>
      <c r="X474" s="4"/>
      <c r="Z474" s="2"/>
      <c r="AA474" s="2"/>
      <c r="AD474" s="26"/>
      <c r="AE474" s="2"/>
      <c r="AF474" s="2"/>
      <c r="AG474" s="2"/>
      <c r="AH474" s="2"/>
      <c r="AT474" s="5"/>
      <c r="AW474" s="2"/>
      <c r="AX474" s="2"/>
      <c r="BA474" s="2"/>
      <c r="BB474" s="2"/>
      <c r="BC474" s="2"/>
    </row>
    <row r="475" spans="14:75" s="1" customFormat="1" ht="20.25" customHeight="1" x14ac:dyDescent="0.25">
      <c r="N475" s="77"/>
      <c r="O475" s="3"/>
      <c r="Q475" s="4"/>
      <c r="R475" s="4"/>
      <c r="S475" s="4"/>
      <c r="T475" s="40"/>
      <c r="U475" s="17"/>
      <c r="V475" s="4"/>
      <c r="W475" s="4"/>
      <c r="X475" s="4"/>
      <c r="Z475" s="2"/>
      <c r="AA475" s="2"/>
      <c r="AD475" s="26"/>
      <c r="AE475" s="2"/>
      <c r="AF475" s="2"/>
      <c r="AG475" s="2"/>
      <c r="AH475" s="2"/>
      <c r="AT475" s="5"/>
      <c r="AW475" s="2"/>
      <c r="AX475" s="2"/>
      <c r="BA475" s="2"/>
      <c r="BB475" s="2"/>
      <c r="BC475" s="2"/>
      <c r="BP475" s="2"/>
      <c r="BQ475" s="2"/>
      <c r="BV475" s="17"/>
      <c r="BW475" s="17"/>
    </row>
    <row r="476" spans="14:75" s="1" customFormat="1" ht="20.25" customHeight="1" x14ac:dyDescent="0.25">
      <c r="N476" s="77"/>
      <c r="O476" s="3"/>
      <c r="Q476" s="4"/>
      <c r="R476" s="4"/>
      <c r="S476" s="4"/>
      <c r="T476" s="40"/>
      <c r="U476" s="17"/>
      <c r="V476" s="4"/>
      <c r="W476" s="4"/>
      <c r="X476" s="4"/>
      <c r="Z476" s="2"/>
      <c r="AA476" s="2"/>
      <c r="AD476" s="26"/>
      <c r="AE476" s="2"/>
      <c r="AF476" s="2"/>
      <c r="AG476" s="2"/>
      <c r="AH476" s="2"/>
      <c r="AT476" s="5"/>
      <c r="AW476" s="2"/>
      <c r="AX476" s="2"/>
      <c r="BA476" s="2"/>
      <c r="BB476" s="2"/>
      <c r="BC476" s="2"/>
    </row>
    <row r="477" spans="14:75" s="1" customFormat="1" ht="20.25" customHeight="1" x14ac:dyDescent="0.25">
      <c r="N477" s="77"/>
      <c r="O477" s="3"/>
      <c r="Q477" s="4"/>
      <c r="R477" s="4"/>
      <c r="S477" s="4"/>
      <c r="T477" s="40"/>
      <c r="U477" s="17"/>
      <c r="V477" s="4"/>
      <c r="W477" s="4"/>
      <c r="X477" s="4"/>
      <c r="Z477" s="2"/>
      <c r="AA477" s="2"/>
      <c r="AD477" s="26"/>
      <c r="AE477" s="2"/>
      <c r="AF477" s="2"/>
      <c r="AG477" s="2"/>
      <c r="AH477" s="2"/>
      <c r="AT477" s="5"/>
      <c r="AW477" s="2"/>
      <c r="AX477" s="2"/>
      <c r="BA477" s="2"/>
      <c r="BB477" s="2"/>
      <c r="BC477" s="2"/>
      <c r="BP477" s="2"/>
      <c r="BQ477" s="2"/>
    </row>
    <row r="478" spans="14:75" s="1" customFormat="1" ht="20.25" customHeight="1" x14ac:dyDescent="0.25">
      <c r="N478" s="77"/>
      <c r="O478" s="3"/>
      <c r="Q478" s="4"/>
      <c r="R478" s="4"/>
      <c r="S478" s="4"/>
      <c r="T478" s="40"/>
      <c r="U478" s="17"/>
      <c r="V478" s="4"/>
      <c r="W478" s="4"/>
      <c r="X478" s="4"/>
      <c r="Z478" s="2"/>
      <c r="AA478" s="2"/>
      <c r="AD478" s="26"/>
      <c r="AE478" s="2"/>
      <c r="AF478" s="2"/>
      <c r="AG478" s="2"/>
      <c r="AH478" s="2"/>
      <c r="AT478" s="5"/>
      <c r="AW478" s="2"/>
      <c r="AX478" s="2"/>
      <c r="BA478" s="2"/>
      <c r="BB478" s="2"/>
      <c r="BC478" s="2"/>
      <c r="BP478" s="2"/>
      <c r="BQ478" s="2"/>
      <c r="BV478" s="17"/>
      <c r="BW478" s="17"/>
    </row>
    <row r="479" spans="14:75" s="1" customFormat="1" ht="20.25" customHeight="1" x14ac:dyDescent="0.25">
      <c r="N479" s="77"/>
      <c r="O479" s="3"/>
      <c r="Q479" s="4"/>
      <c r="R479" s="4"/>
      <c r="S479" s="4"/>
      <c r="T479" s="40"/>
      <c r="U479" s="17"/>
      <c r="V479" s="4"/>
      <c r="W479" s="4"/>
      <c r="X479" s="4"/>
      <c r="Z479" s="2"/>
      <c r="AA479" s="2"/>
      <c r="AD479" s="26"/>
      <c r="AE479" s="2"/>
      <c r="AF479" s="2"/>
      <c r="AG479" s="2"/>
      <c r="AH479" s="2"/>
      <c r="AT479" s="5"/>
      <c r="AW479" s="2"/>
      <c r="AX479" s="2"/>
      <c r="BA479" s="2"/>
      <c r="BB479" s="2"/>
      <c r="BC479" s="2"/>
    </row>
    <row r="480" spans="14:75" s="1" customFormat="1" ht="20.25" customHeight="1" x14ac:dyDescent="0.25">
      <c r="N480" s="77"/>
      <c r="O480" s="3"/>
      <c r="Q480" s="4"/>
      <c r="R480" s="4"/>
      <c r="S480" s="4"/>
      <c r="T480" s="40"/>
      <c r="U480" s="17"/>
      <c r="V480" s="4"/>
      <c r="W480" s="4"/>
      <c r="X480" s="4"/>
      <c r="Z480" s="2"/>
      <c r="AA480" s="2"/>
      <c r="AD480" s="26"/>
      <c r="AE480" s="2"/>
      <c r="AF480" s="2"/>
      <c r="AG480" s="2"/>
      <c r="AH480" s="2"/>
      <c r="AT480" s="5"/>
      <c r="AW480" s="2"/>
      <c r="AX480" s="2"/>
      <c r="BA480" s="2"/>
      <c r="BB480" s="2"/>
      <c r="BC480" s="2"/>
      <c r="BP480" s="2"/>
      <c r="BQ480" s="2"/>
      <c r="BV480" s="17"/>
      <c r="BW480" s="17"/>
    </row>
    <row r="481" spans="6:75" s="1" customFormat="1" ht="20.25" customHeight="1" x14ac:dyDescent="0.25">
      <c r="N481" s="77"/>
      <c r="O481" s="3"/>
      <c r="Q481" s="4"/>
      <c r="R481" s="4"/>
      <c r="S481" s="4"/>
      <c r="T481" s="40"/>
      <c r="U481" s="17"/>
      <c r="V481" s="4"/>
      <c r="W481" s="4"/>
      <c r="X481" s="4"/>
      <c r="Z481" s="2"/>
      <c r="AA481" s="2"/>
      <c r="AD481" s="26"/>
      <c r="AE481" s="2"/>
      <c r="AF481" s="2"/>
      <c r="AG481" s="2"/>
      <c r="AH481" s="2"/>
      <c r="AT481" s="5"/>
      <c r="AW481" s="2"/>
      <c r="AX481" s="2"/>
      <c r="BA481" s="2"/>
      <c r="BB481" s="2"/>
      <c r="BC481" s="2"/>
    </row>
    <row r="482" spans="6:75" s="1" customFormat="1" ht="20.25" customHeight="1" x14ac:dyDescent="0.25">
      <c r="N482" s="77"/>
      <c r="O482" s="3"/>
      <c r="Q482" s="4"/>
      <c r="R482" s="4"/>
      <c r="S482" s="4"/>
      <c r="T482" s="40"/>
      <c r="U482" s="17"/>
      <c r="V482" s="4"/>
      <c r="W482" s="4"/>
      <c r="X482" s="4"/>
      <c r="Z482" s="2"/>
      <c r="AA482" s="2"/>
      <c r="AD482" s="26"/>
      <c r="AE482" s="2"/>
      <c r="AF482" s="2"/>
      <c r="AG482" s="2"/>
      <c r="AH482" s="2"/>
      <c r="AT482" s="5"/>
      <c r="AW482" s="2"/>
      <c r="AX482" s="2"/>
      <c r="BA482" s="2"/>
      <c r="BB482" s="2"/>
      <c r="BC482" s="2"/>
      <c r="BP482" s="2"/>
      <c r="BQ482" s="2"/>
      <c r="BV482" s="17"/>
      <c r="BW482" s="17"/>
    </row>
    <row r="483" spans="6:75" s="1" customFormat="1" ht="20.25" customHeight="1" x14ac:dyDescent="0.25">
      <c r="F483" s="29"/>
      <c r="N483" s="77"/>
      <c r="O483" s="3"/>
      <c r="Q483" s="4"/>
      <c r="R483" s="4"/>
      <c r="S483" s="4"/>
      <c r="T483" s="40"/>
      <c r="U483" s="17"/>
      <c r="V483" s="4"/>
      <c r="W483" s="4"/>
      <c r="X483" s="4"/>
      <c r="Z483" s="2"/>
      <c r="AA483" s="2"/>
      <c r="AD483" s="26"/>
      <c r="AE483" s="2"/>
      <c r="AF483" s="2"/>
      <c r="AG483" s="2"/>
      <c r="AH483" s="2"/>
      <c r="AT483" s="5"/>
      <c r="AW483" s="2"/>
      <c r="AX483" s="2"/>
      <c r="BA483" s="2"/>
      <c r="BB483" s="2"/>
      <c r="BC483" s="2"/>
      <c r="BP483" s="2"/>
      <c r="BQ483" s="2"/>
      <c r="BV483" s="17"/>
      <c r="BW483" s="17"/>
    </row>
    <row r="484" spans="6:75" s="1" customFormat="1" ht="20.25" customHeight="1" x14ac:dyDescent="0.25">
      <c r="N484" s="77"/>
      <c r="O484" s="3"/>
      <c r="Q484" s="4"/>
      <c r="R484" s="4"/>
      <c r="S484" s="4"/>
      <c r="T484" s="40"/>
      <c r="U484" s="17"/>
      <c r="V484" s="4"/>
      <c r="W484" s="4"/>
      <c r="X484" s="4"/>
      <c r="Z484" s="2"/>
      <c r="AA484" s="2"/>
      <c r="AD484" s="26"/>
      <c r="AE484" s="2"/>
      <c r="AF484" s="2"/>
      <c r="AG484" s="2"/>
      <c r="AH484" s="2"/>
      <c r="AT484" s="5"/>
      <c r="AW484" s="2"/>
      <c r="AX484" s="2"/>
      <c r="BA484" s="2"/>
      <c r="BB484" s="2"/>
      <c r="BC484" s="2"/>
      <c r="BP484" s="2"/>
      <c r="BQ484" s="2"/>
    </row>
    <row r="485" spans="6:75" s="1" customFormat="1" ht="20.25" customHeight="1" x14ac:dyDescent="0.25">
      <c r="F485" s="29"/>
      <c r="N485" s="77"/>
      <c r="O485" s="3"/>
      <c r="Q485" s="4"/>
      <c r="R485" s="4"/>
      <c r="S485" s="4"/>
      <c r="T485" s="40"/>
      <c r="U485" s="17"/>
      <c r="V485" s="4"/>
      <c r="W485" s="4"/>
      <c r="X485" s="4"/>
      <c r="Z485" s="2"/>
      <c r="AA485" s="2"/>
      <c r="AD485" s="26"/>
      <c r="AE485" s="2"/>
      <c r="AF485" s="2"/>
      <c r="AG485" s="2"/>
      <c r="AH485" s="2"/>
      <c r="AT485" s="5"/>
      <c r="AW485" s="2"/>
      <c r="AX485" s="2"/>
      <c r="BA485" s="2"/>
      <c r="BB485" s="2"/>
      <c r="BC485" s="2"/>
      <c r="BP485" s="2"/>
      <c r="BQ485" s="2"/>
      <c r="BV485" s="17"/>
      <c r="BW485" s="17"/>
    </row>
    <row r="486" spans="6:75" s="1" customFormat="1" ht="20.25" customHeight="1" x14ac:dyDescent="0.25">
      <c r="F486" s="29"/>
      <c r="N486" s="77"/>
      <c r="O486" s="3"/>
      <c r="Q486" s="4"/>
      <c r="R486" s="4"/>
      <c r="S486" s="4"/>
      <c r="T486" s="40"/>
      <c r="U486" s="17"/>
      <c r="V486" s="4"/>
      <c r="W486" s="4"/>
      <c r="X486" s="4"/>
      <c r="Z486" s="2"/>
      <c r="AA486" s="2"/>
      <c r="AD486" s="26"/>
      <c r="AE486" s="2"/>
      <c r="AF486" s="2"/>
      <c r="AG486" s="2"/>
      <c r="AH486" s="2"/>
      <c r="AT486" s="5"/>
      <c r="AW486" s="2"/>
      <c r="AX486" s="2"/>
      <c r="BA486" s="2"/>
      <c r="BB486" s="2"/>
      <c r="BC486" s="2"/>
    </row>
    <row r="487" spans="6:75" s="1" customFormat="1" ht="20.25" customHeight="1" x14ac:dyDescent="0.25">
      <c r="F487" s="29"/>
      <c r="N487" s="77"/>
      <c r="O487" s="3"/>
      <c r="Q487" s="4"/>
      <c r="R487" s="4"/>
      <c r="S487" s="4"/>
      <c r="T487" s="40"/>
      <c r="U487" s="17"/>
      <c r="V487" s="4"/>
      <c r="W487" s="4"/>
      <c r="X487" s="4"/>
      <c r="Z487" s="2"/>
      <c r="AA487" s="2"/>
      <c r="AD487" s="26"/>
      <c r="AE487" s="2"/>
      <c r="AF487" s="2"/>
      <c r="AG487" s="2"/>
      <c r="AH487" s="2"/>
      <c r="AT487" s="5"/>
      <c r="AW487" s="2"/>
      <c r="AX487" s="2"/>
      <c r="BA487" s="2"/>
      <c r="BB487" s="2"/>
      <c r="BC487" s="2"/>
      <c r="BP487" s="2"/>
      <c r="BQ487" s="2"/>
      <c r="BV487" s="17"/>
      <c r="BW487" s="17"/>
    </row>
    <row r="488" spans="6:75" s="1" customFormat="1" ht="20.25" customHeight="1" x14ac:dyDescent="0.25">
      <c r="N488" s="77"/>
      <c r="O488" s="3"/>
      <c r="Q488" s="4"/>
      <c r="R488" s="4"/>
      <c r="S488" s="4"/>
      <c r="T488" s="40"/>
      <c r="U488" s="17"/>
      <c r="V488" s="4"/>
      <c r="W488" s="4"/>
      <c r="X488" s="4"/>
      <c r="Z488" s="2"/>
      <c r="AA488" s="2"/>
      <c r="AD488" s="26"/>
      <c r="AE488" s="2"/>
      <c r="AF488" s="2"/>
      <c r="AG488" s="2"/>
      <c r="AH488" s="2"/>
      <c r="AT488" s="5"/>
      <c r="AW488" s="2"/>
      <c r="AX488" s="2"/>
      <c r="BA488" s="2"/>
      <c r="BB488" s="2"/>
      <c r="BC488" s="2"/>
    </row>
    <row r="489" spans="6:75" s="1" customFormat="1" ht="20.25" customHeight="1" x14ac:dyDescent="0.25">
      <c r="N489" s="77"/>
      <c r="O489" s="3"/>
      <c r="Q489" s="4"/>
      <c r="R489" s="4"/>
      <c r="S489" s="4"/>
      <c r="T489" s="40"/>
      <c r="U489" s="17"/>
      <c r="V489" s="4"/>
      <c r="W489" s="4"/>
      <c r="X489" s="4"/>
      <c r="Z489" s="2"/>
      <c r="AA489" s="2"/>
      <c r="AD489" s="26"/>
      <c r="AE489" s="2"/>
      <c r="AF489" s="2"/>
      <c r="AG489" s="2"/>
      <c r="AH489" s="2"/>
      <c r="AT489" s="5"/>
      <c r="AW489" s="2"/>
      <c r="AX489" s="2"/>
      <c r="BA489" s="2"/>
      <c r="BB489" s="2"/>
      <c r="BC489" s="2"/>
      <c r="BP489" s="2"/>
      <c r="BQ489" s="2"/>
      <c r="BV489" s="17"/>
      <c r="BW489" s="17"/>
    </row>
    <row r="490" spans="6:75" s="1" customFormat="1" ht="20.25" customHeight="1" x14ac:dyDescent="0.25">
      <c r="N490" s="77"/>
      <c r="O490" s="3"/>
      <c r="Q490" s="4"/>
      <c r="R490" s="4"/>
      <c r="S490" s="4"/>
      <c r="T490" s="40"/>
      <c r="U490" s="17"/>
      <c r="V490" s="4"/>
      <c r="W490" s="4"/>
      <c r="X490" s="4"/>
      <c r="Z490" s="2"/>
      <c r="AA490" s="2"/>
      <c r="AD490" s="26"/>
      <c r="AE490" s="2"/>
      <c r="AF490" s="2"/>
      <c r="AG490" s="2"/>
      <c r="AH490" s="2"/>
      <c r="AT490" s="5"/>
      <c r="AW490" s="2"/>
      <c r="AX490" s="2"/>
      <c r="BA490" s="2"/>
      <c r="BB490" s="2"/>
      <c r="BC490" s="2"/>
      <c r="BP490" s="2"/>
      <c r="BQ490" s="2"/>
      <c r="BV490" s="17"/>
      <c r="BW490" s="17"/>
    </row>
    <row r="491" spans="6:75" s="1" customFormat="1" ht="20.25" customHeight="1" x14ac:dyDescent="0.25">
      <c r="N491" s="77"/>
      <c r="O491" s="3"/>
      <c r="Q491" s="4"/>
      <c r="R491" s="4"/>
      <c r="S491" s="4"/>
      <c r="T491" s="40"/>
      <c r="U491" s="17"/>
      <c r="V491" s="4"/>
      <c r="W491" s="4"/>
      <c r="X491" s="4"/>
      <c r="Z491" s="2"/>
      <c r="AA491" s="2"/>
      <c r="AD491" s="26"/>
      <c r="AE491" s="2"/>
      <c r="AF491" s="2"/>
      <c r="AG491" s="2"/>
      <c r="AH491" s="2"/>
      <c r="AT491" s="5"/>
      <c r="AW491" s="2"/>
      <c r="AX491" s="2"/>
      <c r="BA491" s="2"/>
      <c r="BB491" s="2"/>
      <c r="BC491" s="2"/>
      <c r="BP491" s="2"/>
      <c r="BQ491" s="2"/>
    </row>
    <row r="492" spans="6:75" s="1" customFormat="1" ht="20.25" customHeight="1" x14ac:dyDescent="0.25">
      <c r="N492" s="77"/>
      <c r="O492" s="3"/>
      <c r="Q492" s="4"/>
      <c r="R492" s="4"/>
      <c r="S492" s="4"/>
      <c r="T492" s="40"/>
      <c r="U492" s="17"/>
      <c r="V492" s="4"/>
      <c r="W492" s="4"/>
      <c r="X492" s="4"/>
      <c r="Z492" s="2"/>
      <c r="AA492" s="2"/>
      <c r="AD492" s="26"/>
      <c r="AE492" s="2"/>
      <c r="AF492" s="2"/>
      <c r="AG492" s="2"/>
      <c r="AH492" s="2"/>
      <c r="AT492" s="5"/>
      <c r="AW492" s="2"/>
      <c r="AX492" s="2"/>
      <c r="BA492" s="2"/>
      <c r="BB492" s="2"/>
      <c r="BC492" s="2"/>
      <c r="BP492" s="2"/>
      <c r="BQ492" s="2"/>
      <c r="BV492" s="17"/>
      <c r="BW492" s="17"/>
    </row>
    <row r="493" spans="6:75" s="1" customFormat="1" ht="20.25" customHeight="1" x14ac:dyDescent="0.25">
      <c r="N493" s="77"/>
      <c r="O493" s="3"/>
      <c r="Q493" s="4"/>
      <c r="R493" s="4"/>
      <c r="S493" s="4"/>
      <c r="T493" s="40"/>
      <c r="U493" s="17"/>
      <c r="V493" s="4"/>
      <c r="W493" s="4"/>
      <c r="X493" s="4"/>
      <c r="Z493" s="2"/>
      <c r="AA493" s="2"/>
      <c r="AD493" s="26"/>
      <c r="AE493" s="2"/>
      <c r="AF493" s="2"/>
      <c r="AG493" s="2"/>
      <c r="AH493" s="2"/>
      <c r="AT493" s="5"/>
      <c r="AW493" s="2"/>
      <c r="AX493" s="2"/>
      <c r="BA493" s="2"/>
      <c r="BB493" s="2"/>
      <c r="BC493" s="2"/>
      <c r="BP493" s="2"/>
      <c r="BQ493" s="2"/>
    </row>
    <row r="494" spans="6:75" s="1" customFormat="1" ht="20.25" customHeight="1" x14ac:dyDescent="0.25">
      <c r="N494" s="77"/>
      <c r="O494" s="3"/>
      <c r="Q494" s="4"/>
      <c r="R494" s="4"/>
      <c r="S494" s="4"/>
      <c r="T494" s="40"/>
      <c r="U494" s="17"/>
      <c r="V494" s="4"/>
      <c r="W494" s="4"/>
      <c r="X494" s="4"/>
      <c r="Z494" s="2"/>
      <c r="AA494" s="2"/>
      <c r="AD494" s="26"/>
      <c r="AE494" s="2"/>
      <c r="AF494" s="2"/>
      <c r="AG494" s="2"/>
      <c r="AH494" s="2"/>
      <c r="AT494" s="5"/>
      <c r="AW494" s="2"/>
      <c r="AX494" s="2"/>
      <c r="BA494" s="2"/>
      <c r="BB494" s="2"/>
      <c r="BC494" s="2"/>
      <c r="BP494" s="2"/>
      <c r="BQ494" s="2"/>
      <c r="BV494" s="17"/>
      <c r="BW494" s="17"/>
    </row>
    <row r="495" spans="6:75" s="1" customFormat="1" ht="20.25" customHeight="1" x14ac:dyDescent="0.25">
      <c r="N495" s="77"/>
      <c r="O495" s="3"/>
      <c r="Q495" s="4"/>
      <c r="R495" s="4"/>
      <c r="S495" s="4"/>
      <c r="T495" s="40"/>
      <c r="U495" s="17"/>
      <c r="V495" s="4"/>
      <c r="W495" s="4"/>
      <c r="X495" s="4"/>
      <c r="Z495" s="2"/>
      <c r="AA495" s="2"/>
      <c r="AD495" s="26"/>
      <c r="AE495" s="2"/>
      <c r="AF495" s="2"/>
      <c r="AG495" s="2"/>
      <c r="AH495" s="2"/>
      <c r="AT495" s="5"/>
      <c r="AW495" s="2"/>
      <c r="AX495" s="2"/>
      <c r="BA495" s="2"/>
      <c r="BB495" s="2"/>
      <c r="BC495" s="2"/>
      <c r="BP495" s="2"/>
      <c r="BQ495" s="2"/>
    </row>
    <row r="496" spans="6:75" s="1" customFormat="1" ht="20.25" customHeight="1" x14ac:dyDescent="0.25">
      <c r="N496" s="77"/>
      <c r="O496" s="3"/>
      <c r="Q496" s="4"/>
      <c r="R496" s="4"/>
      <c r="S496" s="4"/>
      <c r="T496" s="40"/>
      <c r="U496" s="17"/>
      <c r="V496" s="4"/>
      <c r="W496" s="4"/>
      <c r="X496" s="4"/>
      <c r="Z496" s="2"/>
      <c r="AA496" s="2"/>
      <c r="AD496" s="26"/>
      <c r="AE496" s="2"/>
      <c r="AF496" s="2"/>
      <c r="AG496" s="2"/>
      <c r="AH496" s="2"/>
      <c r="AT496" s="5"/>
      <c r="AW496" s="2"/>
      <c r="AX496" s="2"/>
      <c r="BA496" s="2"/>
      <c r="BB496" s="2"/>
      <c r="BC496" s="2"/>
      <c r="BP496" s="2"/>
      <c r="BQ496" s="2"/>
      <c r="BV496" s="17"/>
      <c r="BW496" s="17"/>
    </row>
    <row r="497" spans="14:75" s="1" customFormat="1" ht="20.25" customHeight="1" x14ac:dyDescent="0.25">
      <c r="N497" s="77"/>
      <c r="O497" s="3"/>
      <c r="Q497" s="4"/>
      <c r="R497" s="4"/>
      <c r="S497" s="4"/>
      <c r="T497" s="40"/>
      <c r="U497" s="17"/>
      <c r="V497" s="4"/>
      <c r="W497" s="4"/>
      <c r="X497" s="4"/>
      <c r="Z497" s="2"/>
      <c r="AA497" s="2"/>
      <c r="AD497" s="26"/>
      <c r="AE497" s="2"/>
      <c r="AF497" s="2"/>
      <c r="AG497" s="2"/>
      <c r="AH497" s="2"/>
      <c r="AT497" s="5"/>
      <c r="AW497" s="2"/>
      <c r="AX497" s="2"/>
      <c r="BA497" s="2"/>
      <c r="BB497" s="2"/>
      <c r="BC497" s="2"/>
      <c r="BP497" s="2"/>
      <c r="BQ497" s="2"/>
      <c r="BV497" s="17"/>
      <c r="BW497" s="17"/>
    </row>
    <row r="498" spans="14:75" s="1" customFormat="1" ht="20.25" customHeight="1" x14ac:dyDescent="0.25">
      <c r="N498" s="77"/>
      <c r="O498" s="3"/>
      <c r="Q498" s="4"/>
      <c r="R498" s="4"/>
      <c r="S498" s="4"/>
      <c r="T498" s="40"/>
      <c r="U498" s="17"/>
      <c r="V498" s="4"/>
      <c r="W498" s="4"/>
      <c r="X498" s="4"/>
      <c r="Z498" s="2"/>
      <c r="AA498" s="2"/>
      <c r="AD498" s="26"/>
      <c r="AE498" s="2"/>
      <c r="AF498" s="2"/>
      <c r="AG498" s="2"/>
      <c r="AH498" s="2"/>
      <c r="AT498" s="5"/>
      <c r="AW498" s="2"/>
      <c r="AX498" s="2"/>
      <c r="BA498" s="2"/>
      <c r="BB498" s="2"/>
      <c r="BC498" s="2"/>
      <c r="BP498" s="2"/>
      <c r="BQ498" s="2"/>
    </row>
    <row r="499" spans="14:75" s="1" customFormat="1" ht="20.25" customHeight="1" x14ac:dyDescent="0.25">
      <c r="N499" s="77"/>
      <c r="O499" s="3"/>
      <c r="Q499" s="4"/>
      <c r="R499" s="4"/>
      <c r="S499" s="4"/>
      <c r="T499" s="40"/>
      <c r="U499" s="17"/>
      <c r="V499" s="4"/>
      <c r="W499" s="4"/>
      <c r="X499" s="4"/>
      <c r="Z499" s="2"/>
      <c r="AA499" s="2"/>
      <c r="AD499" s="26"/>
      <c r="AE499" s="2"/>
      <c r="AF499" s="2"/>
      <c r="AG499" s="2"/>
      <c r="AH499" s="2"/>
      <c r="AT499" s="5"/>
      <c r="AW499" s="2"/>
      <c r="AX499" s="2"/>
      <c r="BA499" s="2"/>
      <c r="BB499" s="2"/>
      <c r="BC499" s="2"/>
      <c r="BP499" s="2"/>
      <c r="BQ499" s="2"/>
      <c r="BV499" s="17"/>
      <c r="BW499" s="17"/>
    </row>
    <row r="500" spans="14:75" s="1" customFormat="1" ht="20.25" customHeight="1" x14ac:dyDescent="0.25">
      <c r="N500" s="77"/>
      <c r="O500" s="3"/>
      <c r="Q500" s="4"/>
      <c r="R500" s="4"/>
      <c r="S500" s="4"/>
      <c r="T500" s="40"/>
      <c r="U500" s="17"/>
      <c r="V500" s="4"/>
      <c r="W500" s="4"/>
      <c r="X500" s="4"/>
      <c r="Z500" s="2"/>
      <c r="AA500" s="2"/>
      <c r="AD500" s="26"/>
      <c r="AE500" s="2"/>
      <c r="AF500" s="2"/>
      <c r="AG500" s="2"/>
      <c r="AH500" s="2"/>
      <c r="AT500" s="5"/>
      <c r="AW500" s="2"/>
      <c r="AX500" s="2"/>
      <c r="BA500" s="2"/>
      <c r="BB500" s="2"/>
      <c r="BC500" s="2"/>
      <c r="BP500" s="2"/>
      <c r="BQ500" s="2"/>
    </row>
    <row r="501" spans="14:75" s="1" customFormat="1" ht="20.25" customHeight="1" x14ac:dyDescent="0.25">
      <c r="N501" s="77"/>
      <c r="O501" s="3"/>
      <c r="Q501" s="4"/>
      <c r="R501" s="4"/>
      <c r="S501" s="4"/>
      <c r="T501" s="40"/>
      <c r="U501" s="17"/>
      <c r="V501" s="4"/>
      <c r="W501" s="4"/>
      <c r="X501" s="4"/>
      <c r="Z501" s="2"/>
      <c r="AA501" s="2"/>
      <c r="AD501" s="26"/>
      <c r="AE501" s="2"/>
      <c r="AF501" s="2"/>
      <c r="AG501" s="2"/>
      <c r="AH501" s="2"/>
      <c r="AT501" s="5"/>
      <c r="AW501" s="2"/>
      <c r="AX501" s="2"/>
      <c r="BA501" s="2"/>
      <c r="BB501" s="2"/>
      <c r="BC501" s="2"/>
      <c r="BP501" s="2"/>
      <c r="BQ501" s="2"/>
      <c r="BV501" s="17"/>
      <c r="BW501" s="17"/>
    </row>
    <row r="502" spans="14:75" s="1" customFormat="1" ht="20.25" customHeight="1" x14ac:dyDescent="0.25">
      <c r="N502" s="77"/>
      <c r="O502" s="3"/>
      <c r="Q502" s="4"/>
      <c r="R502" s="4"/>
      <c r="S502" s="4"/>
      <c r="T502" s="40"/>
      <c r="U502" s="17"/>
      <c r="V502" s="4"/>
      <c r="W502" s="4"/>
      <c r="X502" s="4"/>
      <c r="Z502" s="2"/>
      <c r="AA502" s="2"/>
      <c r="AD502" s="26"/>
      <c r="AE502" s="2"/>
      <c r="AF502" s="2"/>
      <c r="AG502" s="2"/>
      <c r="AH502" s="2"/>
      <c r="AT502" s="5"/>
      <c r="AW502" s="2"/>
      <c r="AX502" s="2"/>
      <c r="BA502" s="2"/>
      <c r="BB502" s="2"/>
      <c r="BC502" s="2"/>
      <c r="BP502" s="2"/>
      <c r="BQ502" s="2"/>
    </row>
    <row r="503" spans="14:75" s="1" customFormat="1" ht="20.25" customHeight="1" x14ac:dyDescent="0.25">
      <c r="N503" s="77"/>
      <c r="O503" s="3"/>
      <c r="Q503" s="4"/>
      <c r="R503" s="4"/>
      <c r="S503" s="4"/>
      <c r="T503" s="40"/>
      <c r="U503" s="17"/>
      <c r="V503" s="4"/>
      <c r="W503" s="4"/>
      <c r="X503" s="4"/>
      <c r="Z503" s="2"/>
      <c r="AA503" s="2"/>
      <c r="AD503" s="26"/>
      <c r="AE503" s="2"/>
      <c r="AF503" s="2"/>
      <c r="AG503" s="2"/>
      <c r="AH503" s="2"/>
      <c r="AT503" s="5"/>
      <c r="AW503" s="2"/>
      <c r="AX503" s="2"/>
      <c r="BA503" s="2"/>
      <c r="BB503" s="2"/>
      <c r="BC503" s="2"/>
      <c r="BP503" s="2"/>
      <c r="BQ503" s="2"/>
      <c r="BV503" s="17"/>
      <c r="BW503" s="17"/>
    </row>
    <row r="504" spans="14:75" s="1" customFormat="1" ht="20.25" customHeight="1" x14ac:dyDescent="0.25">
      <c r="N504" s="77"/>
      <c r="O504" s="3"/>
      <c r="Q504" s="4"/>
      <c r="R504" s="4"/>
      <c r="S504" s="4"/>
      <c r="T504" s="40"/>
      <c r="U504" s="17"/>
      <c r="V504" s="4"/>
      <c r="W504" s="4"/>
      <c r="X504" s="4"/>
      <c r="Z504" s="2"/>
      <c r="AA504" s="2"/>
      <c r="AD504" s="26"/>
      <c r="AE504" s="2"/>
      <c r="AF504" s="2"/>
      <c r="AG504" s="2"/>
      <c r="AH504" s="2"/>
      <c r="AT504" s="5"/>
      <c r="AW504" s="2"/>
      <c r="AX504" s="2"/>
      <c r="BA504" s="2"/>
      <c r="BB504" s="2"/>
      <c r="BC504" s="2"/>
      <c r="BP504" s="2"/>
      <c r="BQ504" s="2"/>
      <c r="BV504" s="17"/>
      <c r="BW504" s="17"/>
    </row>
    <row r="505" spans="14:75" s="1" customFormat="1" ht="20.25" customHeight="1" x14ac:dyDescent="0.25">
      <c r="N505" s="77"/>
      <c r="O505" s="3"/>
      <c r="Q505" s="4"/>
      <c r="R505" s="4"/>
      <c r="S505" s="4"/>
      <c r="T505" s="40"/>
      <c r="U505" s="17"/>
      <c r="V505" s="4"/>
      <c r="W505" s="4"/>
      <c r="X505" s="4"/>
      <c r="Z505" s="2"/>
      <c r="AA505" s="2"/>
      <c r="AD505" s="26"/>
      <c r="AE505" s="2"/>
      <c r="AF505" s="2"/>
      <c r="AG505" s="2"/>
      <c r="AH505" s="2"/>
      <c r="AT505" s="5"/>
      <c r="AW505" s="2"/>
      <c r="AX505" s="2"/>
      <c r="BA505" s="2"/>
      <c r="BB505" s="2"/>
      <c r="BC505" s="2"/>
      <c r="BP505" s="2"/>
      <c r="BQ505" s="2"/>
    </row>
    <row r="506" spans="14:75" s="1" customFormat="1" ht="20.25" customHeight="1" x14ac:dyDescent="0.25">
      <c r="N506" s="77"/>
      <c r="O506" s="3"/>
      <c r="Q506" s="4"/>
      <c r="R506" s="4"/>
      <c r="S506" s="4"/>
      <c r="T506" s="40"/>
      <c r="U506" s="17"/>
      <c r="V506" s="4"/>
      <c r="W506" s="4"/>
      <c r="X506" s="4"/>
      <c r="Z506" s="2"/>
      <c r="AA506" s="2"/>
      <c r="AD506" s="26"/>
      <c r="AE506" s="2"/>
      <c r="AF506" s="2"/>
      <c r="AG506" s="2"/>
      <c r="AH506" s="2"/>
      <c r="AT506" s="5"/>
      <c r="AW506" s="2"/>
      <c r="AX506" s="2"/>
      <c r="BA506" s="2"/>
      <c r="BB506" s="2"/>
      <c r="BC506" s="2"/>
      <c r="BP506" s="2"/>
      <c r="BQ506" s="2"/>
      <c r="BV506" s="17"/>
      <c r="BW506" s="17"/>
    </row>
    <row r="507" spans="14:75" s="1" customFormat="1" ht="20.25" customHeight="1" x14ac:dyDescent="0.25">
      <c r="N507" s="77"/>
      <c r="O507" s="3"/>
      <c r="Q507" s="4"/>
      <c r="R507" s="4"/>
      <c r="S507" s="4"/>
      <c r="T507" s="40"/>
      <c r="U507" s="17"/>
      <c r="V507" s="4"/>
      <c r="W507" s="4"/>
      <c r="X507" s="4"/>
      <c r="Z507" s="2"/>
      <c r="AA507" s="2"/>
      <c r="AD507" s="26"/>
      <c r="AE507" s="2"/>
      <c r="AF507" s="2"/>
      <c r="AG507" s="2"/>
      <c r="AH507" s="2"/>
      <c r="AT507" s="5"/>
      <c r="AW507" s="2"/>
      <c r="AX507" s="2"/>
      <c r="BA507" s="2"/>
      <c r="BB507" s="2"/>
      <c r="BC507" s="2"/>
      <c r="BP507" s="2"/>
      <c r="BQ507" s="2"/>
    </row>
    <row r="508" spans="14:75" s="1" customFormat="1" ht="20.25" customHeight="1" x14ac:dyDescent="0.25">
      <c r="N508" s="77"/>
      <c r="O508" s="3"/>
      <c r="Q508" s="4"/>
      <c r="R508" s="4"/>
      <c r="S508" s="4"/>
      <c r="T508" s="40"/>
      <c r="U508" s="17"/>
      <c r="V508" s="4"/>
      <c r="W508" s="4"/>
      <c r="X508" s="4"/>
      <c r="Z508" s="2"/>
      <c r="AA508" s="2"/>
      <c r="AD508" s="26"/>
      <c r="AE508" s="2"/>
      <c r="AF508" s="2"/>
      <c r="AG508" s="2"/>
      <c r="AH508" s="2"/>
      <c r="AT508" s="5"/>
      <c r="AW508" s="2"/>
      <c r="AX508" s="2"/>
      <c r="BA508" s="2"/>
      <c r="BB508" s="2"/>
      <c r="BC508" s="2"/>
      <c r="BP508" s="2"/>
      <c r="BQ508" s="2"/>
      <c r="BV508" s="17"/>
      <c r="BW508" s="17"/>
    </row>
    <row r="509" spans="14:75" s="1" customFormat="1" ht="20.25" customHeight="1" x14ac:dyDescent="0.25">
      <c r="N509" s="77"/>
      <c r="O509" s="3"/>
      <c r="Q509" s="4"/>
      <c r="R509" s="4"/>
      <c r="S509" s="4"/>
      <c r="T509" s="40"/>
      <c r="U509" s="17"/>
      <c r="V509" s="4"/>
      <c r="W509" s="4"/>
      <c r="X509" s="4"/>
      <c r="Z509" s="2"/>
      <c r="AA509" s="2"/>
      <c r="AD509" s="26"/>
      <c r="AE509" s="2"/>
      <c r="AF509" s="2"/>
      <c r="AG509" s="2"/>
      <c r="AH509" s="2"/>
      <c r="AT509" s="5"/>
      <c r="AW509" s="2"/>
      <c r="AX509" s="2"/>
      <c r="BA509" s="2"/>
      <c r="BB509" s="2"/>
      <c r="BC509" s="2"/>
      <c r="BP509" s="2"/>
      <c r="BQ509" s="2"/>
    </row>
    <row r="510" spans="14:75" s="1" customFormat="1" ht="20.25" customHeight="1" x14ac:dyDescent="0.25">
      <c r="N510" s="77"/>
      <c r="O510" s="3"/>
      <c r="Q510" s="4"/>
      <c r="R510" s="4"/>
      <c r="S510" s="4"/>
      <c r="T510" s="40"/>
      <c r="U510" s="17"/>
      <c r="V510" s="4"/>
      <c r="W510" s="4"/>
      <c r="X510" s="4"/>
      <c r="Z510" s="2"/>
      <c r="AA510" s="2"/>
      <c r="AD510" s="26"/>
      <c r="AE510" s="2"/>
      <c r="AF510" s="2"/>
      <c r="AG510" s="2"/>
      <c r="AH510" s="2"/>
      <c r="AT510" s="5"/>
      <c r="AW510" s="2"/>
      <c r="AX510" s="2"/>
      <c r="BA510" s="2"/>
      <c r="BB510" s="2"/>
      <c r="BC510" s="2"/>
      <c r="BP510" s="2"/>
      <c r="BQ510" s="2"/>
      <c r="BV510" s="17"/>
      <c r="BW510" s="17"/>
    </row>
    <row r="511" spans="14:75" s="1" customFormat="1" ht="20.25" customHeight="1" x14ac:dyDescent="0.25">
      <c r="N511" s="77"/>
      <c r="O511" s="3"/>
      <c r="Q511" s="4"/>
      <c r="R511" s="4"/>
      <c r="S511" s="4"/>
      <c r="T511" s="40"/>
      <c r="U511" s="17"/>
      <c r="V511" s="4"/>
      <c r="W511" s="4"/>
      <c r="X511" s="4"/>
      <c r="Z511" s="2"/>
      <c r="AA511" s="2"/>
      <c r="AD511" s="26"/>
      <c r="AE511" s="2"/>
      <c r="AF511" s="2"/>
      <c r="AG511" s="2"/>
      <c r="AH511" s="2"/>
      <c r="AT511" s="5"/>
      <c r="AW511" s="2"/>
      <c r="AX511" s="2"/>
      <c r="BA511" s="2"/>
      <c r="BB511" s="2"/>
      <c r="BC511" s="2"/>
      <c r="BP511" s="2"/>
      <c r="BQ511" s="2"/>
      <c r="BV511" s="17"/>
      <c r="BW511" s="17"/>
    </row>
    <row r="512" spans="14:75" s="1" customFormat="1" ht="20.25" customHeight="1" x14ac:dyDescent="0.25">
      <c r="N512" s="77"/>
      <c r="O512" s="3"/>
      <c r="Q512" s="4"/>
      <c r="R512" s="4"/>
      <c r="S512" s="4"/>
      <c r="T512" s="40"/>
      <c r="U512" s="17"/>
      <c r="V512" s="4"/>
      <c r="W512" s="4"/>
      <c r="X512" s="4"/>
      <c r="Z512" s="2"/>
      <c r="AA512" s="2"/>
      <c r="AD512" s="26"/>
      <c r="AE512" s="2"/>
      <c r="AF512" s="2"/>
      <c r="AG512" s="2"/>
      <c r="AH512" s="2"/>
      <c r="AT512" s="5"/>
      <c r="AW512" s="2"/>
      <c r="AX512" s="2"/>
      <c r="BA512" s="2"/>
      <c r="BB512" s="2"/>
      <c r="BC512" s="2"/>
      <c r="BP512" s="2"/>
      <c r="BQ512" s="2"/>
    </row>
    <row r="513" spans="14:75" s="1" customFormat="1" ht="20.25" customHeight="1" x14ac:dyDescent="0.25">
      <c r="N513" s="77"/>
      <c r="O513" s="3"/>
      <c r="Q513" s="4"/>
      <c r="R513" s="4"/>
      <c r="S513" s="4"/>
      <c r="T513" s="40"/>
      <c r="U513" s="17"/>
      <c r="V513" s="4"/>
      <c r="W513" s="4"/>
      <c r="X513" s="4"/>
      <c r="Z513" s="2"/>
      <c r="AA513" s="2"/>
      <c r="AD513" s="26"/>
      <c r="AE513" s="2"/>
      <c r="AF513" s="2"/>
      <c r="AG513" s="2"/>
      <c r="AH513" s="2"/>
      <c r="AT513" s="5"/>
      <c r="AW513" s="2"/>
      <c r="AX513" s="2"/>
      <c r="BA513" s="2"/>
      <c r="BB513" s="2"/>
      <c r="BC513" s="2"/>
      <c r="BP513" s="2"/>
      <c r="BQ513" s="2"/>
      <c r="BV513" s="17"/>
      <c r="BW513" s="17"/>
    </row>
    <row r="514" spans="14:75" s="1" customFormat="1" ht="20.25" customHeight="1" x14ac:dyDescent="0.25">
      <c r="N514" s="77"/>
      <c r="O514" s="3"/>
      <c r="Q514" s="4"/>
      <c r="R514" s="4"/>
      <c r="S514" s="4"/>
      <c r="T514" s="40"/>
      <c r="U514" s="17"/>
      <c r="V514" s="4"/>
      <c r="W514" s="4"/>
      <c r="X514" s="4"/>
      <c r="Z514" s="2"/>
      <c r="AA514" s="2"/>
      <c r="AD514" s="26"/>
      <c r="AE514" s="2"/>
      <c r="AF514" s="2"/>
      <c r="AG514" s="2"/>
      <c r="AH514" s="2"/>
      <c r="AT514" s="5"/>
      <c r="AW514" s="2"/>
      <c r="AX514" s="2"/>
      <c r="BA514" s="2"/>
      <c r="BB514" s="2"/>
      <c r="BC514" s="2"/>
      <c r="BP514" s="2"/>
      <c r="BQ514" s="2"/>
    </row>
    <row r="515" spans="14:75" s="1" customFormat="1" ht="20.25" customHeight="1" x14ac:dyDescent="0.25">
      <c r="N515" s="77"/>
      <c r="O515" s="3"/>
      <c r="Q515" s="4"/>
      <c r="R515" s="4"/>
      <c r="S515" s="4"/>
      <c r="T515" s="40"/>
      <c r="U515" s="17"/>
      <c r="V515" s="4"/>
      <c r="W515" s="4"/>
      <c r="X515" s="4"/>
      <c r="Z515" s="2"/>
      <c r="AA515" s="2"/>
      <c r="AD515" s="26"/>
      <c r="AE515" s="2"/>
      <c r="AF515" s="2"/>
      <c r="AG515" s="2"/>
      <c r="AH515" s="2"/>
      <c r="AT515" s="5"/>
      <c r="AW515" s="2"/>
      <c r="AX515" s="2"/>
      <c r="BA515" s="2"/>
      <c r="BB515" s="2"/>
      <c r="BC515" s="2"/>
      <c r="BP515" s="2"/>
      <c r="BQ515" s="2"/>
      <c r="BV515" s="17"/>
      <c r="BW515" s="17"/>
    </row>
    <row r="516" spans="14:75" s="1" customFormat="1" ht="20.25" customHeight="1" x14ac:dyDescent="0.25">
      <c r="N516" s="77"/>
      <c r="O516" s="3"/>
      <c r="Q516" s="4"/>
      <c r="R516" s="4"/>
      <c r="S516" s="4"/>
      <c r="T516" s="40"/>
      <c r="U516" s="17"/>
      <c r="V516" s="4"/>
      <c r="W516" s="4"/>
      <c r="X516" s="4"/>
      <c r="Z516" s="2"/>
      <c r="AA516" s="2"/>
      <c r="AD516" s="26"/>
      <c r="AE516" s="2"/>
      <c r="AF516" s="2"/>
      <c r="AG516" s="2"/>
      <c r="AH516" s="2"/>
      <c r="AT516" s="5"/>
      <c r="AW516" s="2"/>
      <c r="AX516" s="2"/>
      <c r="BA516" s="2"/>
      <c r="BB516" s="2"/>
      <c r="BC516" s="2"/>
      <c r="BP516" s="2"/>
      <c r="BQ516" s="2"/>
    </row>
    <row r="517" spans="14:75" s="1" customFormat="1" ht="20.25" customHeight="1" x14ac:dyDescent="0.25">
      <c r="N517" s="77"/>
      <c r="O517" s="3"/>
      <c r="Q517" s="4"/>
      <c r="R517" s="4"/>
      <c r="S517" s="4"/>
      <c r="T517" s="40"/>
      <c r="U517" s="17"/>
      <c r="V517" s="4"/>
      <c r="W517" s="4"/>
      <c r="X517" s="4"/>
      <c r="Z517" s="2"/>
      <c r="AA517" s="2"/>
      <c r="AD517" s="26"/>
      <c r="AE517" s="2"/>
      <c r="AF517" s="2"/>
      <c r="AG517" s="2"/>
      <c r="AH517" s="2"/>
      <c r="AT517" s="5"/>
      <c r="AW517" s="2"/>
      <c r="AX517" s="2"/>
      <c r="BA517" s="2"/>
      <c r="BB517" s="2"/>
      <c r="BC517" s="2"/>
      <c r="BP517" s="2"/>
      <c r="BQ517" s="2"/>
      <c r="BV517" s="17"/>
      <c r="BW517" s="17"/>
    </row>
    <row r="518" spans="14:75" s="1" customFormat="1" ht="20.25" customHeight="1" x14ac:dyDescent="0.25">
      <c r="N518" s="77"/>
      <c r="O518" s="3"/>
      <c r="Q518" s="4"/>
      <c r="R518" s="4"/>
      <c r="S518" s="4"/>
      <c r="T518" s="40"/>
      <c r="U518" s="17"/>
      <c r="V518" s="4"/>
      <c r="W518" s="4"/>
      <c r="X518" s="4"/>
      <c r="Z518" s="2"/>
      <c r="AA518" s="2"/>
      <c r="AD518" s="26"/>
      <c r="AE518" s="2"/>
      <c r="AF518" s="2"/>
      <c r="AG518" s="2"/>
      <c r="AH518" s="2"/>
      <c r="AT518" s="5"/>
      <c r="AW518" s="2"/>
      <c r="AX518" s="2"/>
      <c r="BA518" s="2"/>
      <c r="BB518" s="2"/>
      <c r="BC518" s="2"/>
      <c r="BP518" s="2"/>
      <c r="BQ518" s="2"/>
      <c r="BV518" s="17"/>
      <c r="BW518" s="17"/>
    </row>
    <row r="519" spans="14:75" s="1" customFormat="1" ht="20.25" customHeight="1" x14ac:dyDescent="0.25">
      <c r="N519" s="77"/>
      <c r="O519" s="3"/>
      <c r="Q519" s="4"/>
      <c r="R519" s="4"/>
      <c r="S519" s="4"/>
      <c r="T519" s="40"/>
      <c r="U519" s="17"/>
      <c r="V519" s="4"/>
      <c r="W519" s="4"/>
      <c r="X519" s="4"/>
      <c r="Z519" s="2"/>
      <c r="AA519" s="2"/>
      <c r="AD519" s="26"/>
      <c r="AE519" s="2"/>
      <c r="AF519" s="2"/>
      <c r="AG519" s="2"/>
      <c r="AH519" s="2"/>
      <c r="AT519" s="5"/>
      <c r="AW519" s="2"/>
      <c r="AX519" s="2"/>
      <c r="BA519" s="2"/>
      <c r="BB519" s="2"/>
      <c r="BC519" s="2"/>
      <c r="BP519" s="2"/>
      <c r="BQ519" s="2"/>
    </row>
    <row r="520" spans="14:75" s="1" customFormat="1" ht="20.25" customHeight="1" x14ac:dyDescent="0.25">
      <c r="N520" s="77"/>
      <c r="O520" s="3"/>
      <c r="Q520" s="4"/>
      <c r="R520" s="4"/>
      <c r="S520" s="4"/>
      <c r="T520" s="40"/>
      <c r="U520" s="17"/>
      <c r="V520" s="4"/>
      <c r="W520" s="4"/>
      <c r="X520" s="4"/>
      <c r="Z520" s="2"/>
      <c r="AA520" s="2"/>
      <c r="AD520" s="26"/>
      <c r="AE520" s="2"/>
      <c r="AF520" s="2"/>
      <c r="AG520" s="2"/>
      <c r="AH520" s="2"/>
      <c r="AT520" s="5"/>
      <c r="AW520" s="2"/>
      <c r="AX520" s="2"/>
      <c r="BA520" s="2"/>
      <c r="BB520" s="2"/>
      <c r="BC520" s="2"/>
      <c r="BP520" s="2"/>
      <c r="BQ520" s="2"/>
      <c r="BV520" s="17"/>
      <c r="BW520" s="17"/>
    </row>
    <row r="521" spans="14:75" s="1" customFormat="1" ht="20.25" customHeight="1" x14ac:dyDescent="0.25">
      <c r="N521" s="77"/>
      <c r="O521" s="3"/>
      <c r="Q521" s="4"/>
      <c r="R521" s="4"/>
      <c r="S521" s="4"/>
      <c r="T521" s="40"/>
      <c r="U521" s="17"/>
      <c r="V521" s="4"/>
      <c r="W521" s="4"/>
      <c r="X521" s="4"/>
      <c r="Z521" s="2"/>
      <c r="AA521" s="2"/>
      <c r="AD521" s="26"/>
      <c r="AE521" s="2"/>
      <c r="AF521" s="2"/>
      <c r="AG521" s="2"/>
      <c r="AH521" s="2"/>
      <c r="AT521" s="5"/>
      <c r="AW521" s="2"/>
      <c r="AX521" s="2"/>
      <c r="BA521" s="2"/>
      <c r="BB521" s="2"/>
      <c r="BC521" s="2"/>
      <c r="BP521" s="2"/>
      <c r="BQ521" s="2"/>
    </row>
    <row r="522" spans="14:75" s="1" customFormat="1" ht="20.25" customHeight="1" x14ac:dyDescent="0.25">
      <c r="N522" s="77"/>
      <c r="O522" s="3"/>
      <c r="Q522" s="4"/>
      <c r="R522" s="4"/>
      <c r="S522" s="4"/>
      <c r="T522" s="40"/>
      <c r="U522" s="17"/>
      <c r="V522" s="4"/>
      <c r="W522" s="4"/>
      <c r="X522" s="4"/>
      <c r="Z522" s="2"/>
      <c r="AA522" s="2"/>
      <c r="AD522" s="26"/>
      <c r="AE522" s="2"/>
      <c r="AF522" s="2"/>
      <c r="AG522" s="2"/>
      <c r="AH522" s="2"/>
      <c r="AT522" s="5"/>
      <c r="AW522" s="2"/>
      <c r="AX522" s="2"/>
      <c r="BA522" s="2"/>
      <c r="BB522" s="2"/>
      <c r="BC522" s="2"/>
      <c r="BP522" s="2"/>
      <c r="BQ522" s="2"/>
      <c r="BV522" s="17"/>
      <c r="BW522" s="17"/>
    </row>
    <row r="523" spans="14:75" s="1" customFormat="1" ht="20.25" customHeight="1" x14ac:dyDescent="0.25">
      <c r="N523" s="77"/>
      <c r="O523" s="3"/>
      <c r="Q523" s="4"/>
      <c r="R523" s="4"/>
      <c r="S523" s="4"/>
      <c r="T523" s="40"/>
      <c r="U523" s="17"/>
      <c r="V523" s="4"/>
      <c r="W523" s="4"/>
      <c r="X523" s="4"/>
      <c r="Z523" s="2"/>
      <c r="AA523" s="2"/>
      <c r="AD523" s="26"/>
      <c r="AE523" s="2"/>
      <c r="AF523" s="2"/>
      <c r="AG523" s="2"/>
      <c r="AH523" s="2"/>
      <c r="AT523" s="5"/>
      <c r="AW523" s="2"/>
      <c r="AX523" s="2"/>
      <c r="BA523" s="2"/>
      <c r="BB523" s="2"/>
      <c r="BC523" s="2"/>
      <c r="BP523" s="2"/>
      <c r="BQ523" s="2"/>
    </row>
    <row r="524" spans="14:75" s="1" customFormat="1" ht="20.25" customHeight="1" x14ac:dyDescent="0.25">
      <c r="N524" s="77"/>
      <c r="O524" s="3"/>
      <c r="Q524" s="4"/>
      <c r="R524" s="4"/>
      <c r="S524" s="4"/>
      <c r="T524" s="40"/>
      <c r="U524" s="17"/>
      <c r="V524" s="4"/>
      <c r="W524" s="4"/>
      <c r="X524" s="4"/>
      <c r="Z524" s="2"/>
      <c r="AA524" s="2"/>
      <c r="AD524" s="26"/>
      <c r="AE524" s="2"/>
      <c r="AF524" s="2"/>
      <c r="AG524" s="2"/>
      <c r="AH524" s="2"/>
      <c r="AT524" s="5"/>
      <c r="AW524" s="2"/>
      <c r="AX524" s="2"/>
      <c r="BA524" s="2"/>
      <c r="BB524" s="2"/>
      <c r="BC524" s="2"/>
      <c r="BP524" s="2"/>
      <c r="BQ524" s="2"/>
      <c r="BV524" s="17"/>
      <c r="BW524" s="17"/>
    </row>
    <row r="525" spans="14:75" s="1" customFormat="1" ht="20.25" customHeight="1" x14ac:dyDescent="0.25">
      <c r="N525" s="77"/>
      <c r="O525" s="3"/>
      <c r="Q525" s="4"/>
      <c r="R525" s="4"/>
      <c r="S525" s="4"/>
      <c r="T525" s="40"/>
      <c r="U525" s="17"/>
      <c r="V525" s="4"/>
      <c r="W525" s="4"/>
      <c r="X525" s="4"/>
      <c r="Z525" s="2"/>
      <c r="AA525" s="2"/>
      <c r="AD525" s="26"/>
      <c r="AE525" s="2"/>
      <c r="AF525" s="2"/>
      <c r="AG525" s="2"/>
      <c r="AH525" s="2"/>
      <c r="AT525" s="5"/>
      <c r="AW525" s="2"/>
      <c r="AX525" s="2"/>
      <c r="BA525" s="2"/>
      <c r="BB525" s="2"/>
      <c r="BC525" s="2"/>
      <c r="BP525" s="2"/>
      <c r="BQ525" s="2"/>
      <c r="BV525" s="17"/>
      <c r="BW525" s="17"/>
    </row>
    <row r="526" spans="14:75" s="1" customFormat="1" ht="20.25" customHeight="1" x14ac:dyDescent="0.25">
      <c r="N526" s="77"/>
      <c r="O526" s="3"/>
      <c r="Q526" s="4"/>
      <c r="R526" s="4"/>
      <c r="S526" s="4"/>
      <c r="T526" s="40"/>
      <c r="U526" s="17"/>
      <c r="V526" s="4"/>
      <c r="W526" s="4"/>
      <c r="X526" s="4"/>
      <c r="Z526" s="2"/>
      <c r="AA526" s="2"/>
      <c r="AD526" s="26"/>
      <c r="AE526" s="2"/>
      <c r="AF526" s="2"/>
      <c r="AG526" s="2"/>
      <c r="AH526" s="2"/>
      <c r="AT526" s="5"/>
      <c r="AW526" s="2"/>
      <c r="AX526" s="2"/>
      <c r="BA526" s="2"/>
      <c r="BB526" s="2"/>
      <c r="BC526" s="2"/>
      <c r="BP526" s="2"/>
      <c r="BQ526" s="2"/>
    </row>
    <row r="527" spans="14:75" s="1" customFormat="1" ht="20.25" customHeight="1" x14ac:dyDescent="0.25">
      <c r="N527" s="77"/>
      <c r="O527" s="3"/>
      <c r="Q527" s="4"/>
      <c r="R527" s="4"/>
      <c r="S527" s="4"/>
      <c r="T527" s="40"/>
      <c r="U527" s="17"/>
      <c r="V527" s="4"/>
      <c r="W527" s="4"/>
      <c r="X527" s="4"/>
      <c r="Z527" s="2"/>
      <c r="AA527" s="2"/>
      <c r="AD527" s="26"/>
      <c r="AE527" s="2"/>
      <c r="AF527" s="2"/>
      <c r="AG527" s="2"/>
      <c r="AH527" s="2"/>
      <c r="AT527" s="5"/>
      <c r="AW527" s="2"/>
      <c r="AX527" s="2"/>
      <c r="BA527" s="2"/>
      <c r="BB527" s="2"/>
      <c r="BC527" s="2"/>
      <c r="BP527" s="2"/>
      <c r="BQ527" s="2"/>
      <c r="BV527" s="17"/>
      <c r="BW527" s="17"/>
    </row>
    <row r="528" spans="14:75" s="1" customFormat="1" ht="20.25" customHeight="1" x14ac:dyDescent="0.25">
      <c r="N528" s="77"/>
      <c r="O528" s="3"/>
      <c r="Q528" s="4"/>
      <c r="R528" s="4"/>
      <c r="S528" s="4"/>
      <c r="T528" s="40"/>
      <c r="U528" s="17"/>
      <c r="V528" s="4"/>
      <c r="W528" s="4"/>
      <c r="X528" s="4"/>
      <c r="Z528" s="2"/>
      <c r="AA528" s="2"/>
      <c r="AD528" s="26"/>
      <c r="AE528" s="2"/>
      <c r="AF528" s="2"/>
      <c r="AG528" s="2"/>
      <c r="AH528" s="2"/>
      <c r="AT528" s="5"/>
      <c r="AW528" s="2"/>
      <c r="AX528" s="2"/>
      <c r="BA528" s="2"/>
      <c r="BB528" s="2"/>
      <c r="BC528" s="2"/>
      <c r="BP528" s="2"/>
      <c r="BQ528" s="2"/>
    </row>
    <row r="529" spans="14:75" s="1" customFormat="1" ht="20.25" customHeight="1" x14ac:dyDescent="0.25">
      <c r="N529" s="77"/>
      <c r="O529" s="3"/>
      <c r="Q529" s="4"/>
      <c r="R529" s="4"/>
      <c r="S529" s="4"/>
      <c r="T529" s="40"/>
      <c r="U529" s="17"/>
      <c r="V529" s="4"/>
      <c r="W529" s="4"/>
      <c r="X529" s="4"/>
      <c r="Z529" s="2"/>
      <c r="AA529" s="2"/>
      <c r="AD529" s="26"/>
      <c r="AE529" s="2"/>
      <c r="AF529" s="2"/>
      <c r="AG529" s="2"/>
      <c r="AH529" s="2"/>
      <c r="AT529" s="5"/>
      <c r="AW529" s="2"/>
      <c r="AX529" s="2"/>
      <c r="BA529" s="2"/>
      <c r="BB529" s="2"/>
      <c r="BC529" s="2"/>
      <c r="BP529" s="2"/>
      <c r="BQ529" s="2"/>
      <c r="BV529" s="17"/>
      <c r="BW529" s="17"/>
    </row>
    <row r="530" spans="14:75" s="1" customFormat="1" ht="20.25" customHeight="1" x14ac:dyDescent="0.25">
      <c r="N530" s="77"/>
      <c r="O530" s="3"/>
      <c r="Q530" s="4"/>
      <c r="R530" s="4"/>
      <c r="S530" s="4"/>
      <c r="T530" s="40"/>
      <c r="U530" s="17"/>
      <c r="V530" s="4"/>
      <c r="W530" s="4"/>
      <c r="X530" s="4"/>
      <c r="Z530" s="2"/>
      <c r="AA530" s="2"/>
      <c r="AD530" s="26"/>
      <c r="AE530" s="2"/>
      <c r="AF530" s="2"/>
      <c r="AG530" s="2"/>
      <c r="AH530" s="2"/>
      <c r="AT530" s="5"/>
      <c r="AW530" s="2"/>
      <c r="AX530" s="2"/>
      <c r="BA530" s="2"/>
      <c r="BB530" s="2"/>
      <c r="BC530" s="2"/>
      <c r="BP530" s="2"/>
      <c r="BQ530" s="2"/>
    </row>
    <row r="531" spans="14:75" s="1" customFormat="1" ht="20.25" customHeight="1" x14ac:dyDescent="0.25">
      <c r="N531" s="77"/>
      <c r="O531" s="3"/>
      <c r="Q531" s="4"/>
      <c r="R531" s="4"/>
      <c r="S531" s="4"/>
      <c r="T531" s="40"/>
      <c r="U531" s="17"/>
      <c r="V531" s="4"/>
      <c r="W531" s="4"/>
      <c r="X531" s="4"/>
      <c r="Z531" s="2"/>
      <c r="AA531" s="2"/>
      <c r="AD531" s="26"/>
      <c r="AE531" s="2"/>
      <c r="AF531" s="2"/>
      <c r="AG531" s="2"/>
      <c r="AH531" s="2"/>
      <c r="AT531" s="5"/>
      <c r="AW531" s="2"/>
      <c r="AX531" s="2"/>
      <c r="BA531" s="2"/>
      <c r="BB531" s="2"/>
      <c r="BC531" s="2"/>
      <c r="BP531" s="2"/>
      <c r="BQ531" s="2"/>
      <c r="BV531" s="17"/>
      <c r="BW531" s="17"/>
    </row>
    <row r="532" spans="14:75" s="1" customFormat="1" ht="20.25" customHeight="1" x14ac:dyDescent="0.25">
      <c r="N532" s="77"/>
      <c r="O532" s="3"/>
      <c r="Q532" s="4"/>
      <c r="R532" s="4"/>
      <c r="S532" s="4"/>
      <c r="T532" s="40"/>
      <c r="U532" s="17"/>
      <c r="V532" s="4"/>
      <c r="W532" s="4"/>
      <c r="X532" s="4"/>
      <c r="Z532" s="2"/>
      <c r="AA532" s="2"/>
      <c r="AD532" s="26"/>
      <c r="AE532" s="2"/>
      <c r="AF532" s="2"/>
      <c r="AG532" s="2"/>
      <c r="AH532" s="2"/>
      <c r="AT532" s="5"/>
      <c r="AW532" s="2"/>
      <c r="AX532" s="2"/>
      <c r="BA532" s="2"/>
      <c r="BB532" s="2"/>
      <c r="BC532" s="2"/>
      <c r="BP532" s="2"/>
      <c r="BQ532" s="2"/>
      <c r="BV532" s="17"/>
      <c r="BW532" s="17"/>
    </row>
    <row r="533" spans="14:75" s="1" customFormat="1" ht="20.25" customHeight="1" x14ac:dyDescent="0.25">
      <c r="N533" s="77"/>
      <c r="O533" s="3"/>
      <c r="Q533" s="4"/>
      <c r="R533" s="4"/>
      <c r="S533" s="4"/>
      <c r="T533" s="40"/>
      <c r="U533" s="17"/>
      <c r="V533" s="4"/>
      <c r="W533" s="4"/>
      <c r="X533" s="4"/>
      <c r="Z533" s="2"/>
      <c r="AA533" s="2"/>
      <c r="AD533" s="26"/>
      <c r="AE533" s="2"/>
      <c r="AF533" s="2"/>
      <c r="AG533" s="2"/>
      <c r="AH533" s="2"/>
      <c r="AT533" s="5"/>
      <c r="AW533" s="2"/>
      <c r="AX533" s="2"/>
      <c r="BA533" s="2"/>
      <c r="BB533" s="2"/>
      <c r="BC533" s="2"/>
      <c r="BP533" s="2"/>
      <c r="BQ533" s="2"/>
    </row>
    <row r="534" spans="14:75" s="1" customFormat="1" ht="20.25" customHeight="1" x14ac:dyDescent="0.25">
      <c r="N534" s="77"/>
      <c r="O534" s="3"/>
      <c r="Q534" s="4"/>
      <c r="R534" s="4"/>
      <c r="S534" s="4"/>
      <c r="T534" s="40"/>
      <c r="U534" s="17"/>
      <c r="V534" s="4"/>
      <c r="W534" s="4"/>
      <c r="X534" s="4"/>
      <c r="Z534" s="2"/>
      <c r="AA534" s="2"/>
      <c r="AD534" s="26"/>
      <c r="AE534" s="2"/>
      <c r="AF534" s="2"/>
      <c r="AG534" s="2"/>
      <c r="AH534" s="2"/>
      <c r="AT534" s="5"/>
      <c r="AW534" s="2"/>
      <c r="AX534" s="2"/>
      <c r="BA534" s="2"/>
      <c r="BB534" s="2"/>
      <c r="BC534" s="2"/>
      <c r="BP534" s="2"/>
      <c r="BQ534" s="2"/>
    </row>
    <row r="535" spans="14:75" s="1" customFormat="1" ht="20.25" customHeight="1" x14ac:dyDescent="0.25">
      <c r="N535" s="77"/>
      <c r="O535" s="3"/>
      <c r="Q535" s="4"/>
      <c r="R535" s="4"/>
      <c r="S535" s="4"/>
      <c r="T535" s="40"/>
      <c r="U535" s="17"/>
      <c r="V535" s="4"/>
      <c r="W535" s="4"/>
      <c r="X535" s="4"/>
      <c r="Z535" s="2"/>
      <c r="AA535" s="2"/>
      <c r="AD535" s="26"/>
      <c r="AE535" s="2"/>
      <c r="AF535" s="2"/>
      <c r="AG535" s="2"/>
      <c r="AH535" s="2"/>
      <c r="AT535" s="5"/>
      <c r="AW535" s="2"/>
      <c r="AX535" s="2"/>
      <c r="BA535" s="2"/>
      <c r="BB535" s="2"/>
      <c r="BC535" s="2"/>
      <c r="BP535" s="2"/>
      <c r="BQ535" s="2"/>
      <c r="BV535" s="17"/>
      <c r="BW535" s="17"/>
    </row>
    <row r="536" spans="14:75" s="1" customFormat="1" ht="20.25" customHeight="1" x14ac:dyDescent="0.25">
      <c r="N536" s="77"/>
      <c r="O536" s="3"/>
      <c r="Q536" s="4"/>
      <c r="R536" s="4"/>
      <c r="S536" s="4"/>
      <c r="T536" s="40"/>
      <c r="U536" s="17"/>
      <c r="V536" s="4"/>
      <c r="W536" s="4"/>
      <c r="X536" s="4"/>
      <c r="Z536" s="2"/>
      <c r="AA536" s="2"/>
      <c r="AD536" s="26"/>
      <c r="AE536" s="2"/>
      <c r="AF536" s="2"/>
      <c r="AG536" s="2"/>
      <c r="AH536" s="2"/>
      <c r="AT536" s="5"/>
      <c r="AW536" s="2"/>
      <c r="AX536" s="2"/>
      <c r="BA536" s="2"/>
      <c r="BB536" s="2"/>
      <c r="BC536" s="2"/>
      <c r="BP536" s="2"/>
      <c r="BQ536" s="2"/>
    </row>
    <row r="537" spans="14:75" s="1" customFormat="1" ht="20.25" customHeight="1" x14ac:dyDescent="0.25">
      <c r="N537" s="77"/>
      <c r="O537" s="3"/>
      <c r="Q537" s="4"/>
      <c r="R537" s="4"/>
      <c r="S537" s="4"/>
      <c r="T537" s="40"/>
      <c r="U537" s="17"/>
      <c r="V537" s="4"/>
      <c r="W537" s="4"/>
      <c r="X537" s="4"/>
      <c r="Z537" s="2"/>
      <c r="AA537" s="2"/>
      <c r="AD537" s="26"/>
      <c r="AE537" s="2"/>
      <c r="AF537" s="2"/>
      <c r="AG537" s="2"/>
      <c r="AH537" s="2"/>
      <c r="AT537" s="5"/>
      <c r="AW537" s="2"/>
      <c r="AX537" s="2"/>
      <c r="BA537" s="2"/>
      <c r="BB537" s="2"/>
      <c r="BC537" s="2"/>
      <c r="BP537" s="2"/>
      <c r="BQ537" s="2"/>
      <c r="BV537" s="17"/>
      <c r="BW537" s="17"/>
    </row>
    <row r="538" spans="14:75" s="1" customFormat="1" ht="20.25" customHeight="1" x14ac:dyDescent="0.25">
      <c r="N538" s="77"/>
      <c r="O538" s="3"/>
      <c r="Q538" s="4"/>
      <c r="R538" s="4"/>
      <c r="S538" s="4"/>
      <c r="T538" s="40"/>
      <c r="U538" s="17"/>
      <c r="V538" s="4"/>
      <c r="W538" s="4"/>
      <c r="X538" s="4"/>
      <c r="Z538" s="2"/>
      <c r="AA538" s="2"/>
      <c r="AD538" s="26"/>
      <c r="AE538" s="2"/>
      <c r="AF538" s="2"/>
      <c r="AG538" s="2"/>
      <c r="AH538" s="2"/>
      <c r="AT538" s="5"/>
      <c r="AW538" s="2"/>
      <c r="AX538" s="2"/>
      <c r="BA538" s="2"/>
      <c r="BB538" s="2"/>
      <c r="BC538" s="2"/>
      <c r="BP538" s="2"/>
      <c r="BQ538" s="2"/>
    </row>
    <row r="539" spans="14:75" s="1" customFormat="1" ht="20.25" customHeight="1" x14ac:dyDescent="0.25">
      <c r="N539" s="77"/>
      <c r="O539" s="3"/>
      <c r="Q539" s="4"/>
      <c r="R539" s="4"/>
      <c r="S539" s="4"/>
      <c r="T539" s="40"/>
      <c r="U539" s="17"/>
      <c r="V539" s="4"/>
      <c r="W539" s="4"/>
      <c r="X539" s="4"/>
      <c r="Z539" s="2"/>
      <c r="AA539" s="2"/>
      <c r="AD539" s="26"/>
      <c r="AE539" s="2"/>
      <c r="AF539" s="2"/>
      <c r="AG539" s="2"/>
      <c r="AH539" s="2"/>
      <c r="AT539" s="5"/>
      <c r="AW539" s="2"/>
      <c r="AX539" s="2"/>
      <c r="BA539" s="2"/>
      <c r="BB539" s="2"/>
      <c r="BC539" s="2"/>
      <c r="BP539" s="2"/>
      <c r="BQ539" s="2"/>
      <c r="BV539" s="17"/>
      <c r="BW539" s="17"/>
    </row>
    <row r="540" spans="14:75" s="1" customFormat="1" ht="20.25" customHeight="1" x14ac:dyDescent="0.25">
      <c r="N540" s="77"/>
      <c r="O540" s="3"/>
      <c r="Q540" s="4"/>
      <c r="R540" s="4"/>
      <c r="S540" s="4"/>
      <c r="T540" s="40"/>
      <c r="U540" s="17"/>
      <c r="V540" s="4"/>
      <c r="W540" s="4"/>
      <c r="X540" s="4"/>
      <c r="Z540" s="2"/>
      <c r="AA540" s="2"/>
      <c r="AD540" s="26"/>
      <c r="AE540" s="2"/>
      <c r="AF540" s="2"/>
      <c r="AG540" s="2"/>
      <c r="AH540" s="2"/>
      <c r="AT540" s="5"/>
      <c r="AW540" s="2"/>
      <c r="AX540" s="2"/>
      <c r="BA540" s="2"/>
      <c r="BB540" s="2"/>
      <c r="BC540" s="2"/>
      <c r="BP540" s="2"/>
      <c r="BQ540" s="2"/>
    </row>
    <row r="541" spans="14:75" s="1" customFormat="1" ht="20.25" customHeight="1" x14ac:dyDescent="0.25">
      <c r="N541" s="77"/>
      <c r="O541" s="3"/>
      <c r="Q541" s="4"/>
      <c r="R541" s="4"/>
      <c r="S541" s="4"/>
      <c r="T541" s="40"/>
      <c r="U541" s="17"/>
      <c r="V541" s="4"/>
      <c r="W541" s="4"/>
      <c r="X541" s="4"/>
      <c r="Z541" s="2"/>
      <c r="AA541" s="2"/>
      <c r="AD541" s="26"/>
      <c r="AE541" s="2"/>
      <c r="AF541" s="2"/>
      <c r="AG541" s="2"/>
      <c r="AH541" s="2"/>
      <c r="AT541" s="5"/>
      <c r="AW541" s="2"/>
      <c r="AX541" s="2"/>
      <c r="BA541" s="2"/>
      <c r="BB541" s="2"/>
      <c r="BC541" s="2"/>
      <c r="BP541" s="2"/>
      <c r="BQ541" s="2"/>
      <c r="BV541" s="17"/>
      <c r="BW541" s="17"/>
    </row>
    <row r="542" spans="14:75" s="1" customFormat="1" ht="20.25" customHeight="1" x14ac:dyDescent="0.25">
      <c r="N542" s="77"/>
      <c r="O542" s="3"/>
      <c r="Q542" s="4"/>
      <c r="R542" s="4"/>
      <c r="S542" s="4"/>
      <c r="T542" s="40"/>
      <c r="U542" s="17"/>
      <c r="V542" s="4"/>
      <c r="W542" s="4"/>
      <c r="X542" s="4"/>
      <c r="Z542" s="2"/>
      <c r="AA542" s="2"/>
      <c r="AD542" s="26"/>
      <c r="AE542" s="2"/>
      <c r="AF542" s="2"/>
      <c r="AG542" s="2"/>
      <c r="AH542" s="2"/>
      <c r="AT542" s="5"/>
      <c r="AW542" s="2"/>
      <c r="AX542" s="2"/>
      <c r="BA542" s="2"/>
      <c r="BB542" s="2"/>
      <c r="BC542" s="2"/>
      <c r="BP542" s="2"/>
      <c r="BQ542" s="2"/>
    </row>
    <row r="543" spans="14:75" s="1" customFormat="1" ht="20.25" customHeight="1" x14ac:dyDescent="0.25">
      <c r="N543" s="77"/>
      <c r="O543" s="3"/>
      <c r="Q543" s="4"/>
      <c r="R543" s="4"/>
      <c r="S543" s="4"/>
      <c r="T543" s="40"/>
      <c r="U543" s="17"/>
      <c r="V543" s="4"/>
      <c r="W543" s="4"/>
      <c r="X543" s="4"/>
      <c r="Z543" s="2"/>
      <c r="AA543" s="2"/>
      <c r="AD543" s="26"/>
      <c r="AE543" s="2"/>
      <c r="AF543" s="2"/>
      <c r="AG543" s="2"/>
      <c r="AH543" s="2"/>
      <c r="AT543" s="5"/>
      <c r="AW543" s="2"/>
      <c r="AX543" s="2"/>
      <c r="BA543" s="2"/>
      <c r="BB543" s="2"/>
      <c r="BC543" s="2"/>
      <c r="BP543" s="2"/>
      <c r="BQ543" s="2"/>
      <c r="BV543" s="17"/>
      <c r="BW543" s="17"/>
    </row>
    <row r="544" spans="14:75" s="1" customFormat="1" ht="20.25" customHeight="1" x14ac:dyDescent="0.25">
      <c r="N544" s="77"/>
      <c r="O544" s="3"/>
      <c r="Q544" s="4"/>
      <c r="R544" s="4"/>
      <c r="S544" s="4"/>
      <c r="T544" s="40"/>
      <c r="U544" s="17"/>
      <c r="V544" s="4"/>
      <c r="W544" s="4"/>
      <c r="X544" s="4"/>
      <c r="Z544" s="2"/>
      <c r="AA544" s="2"/>
      <c r="AD544" s="26"/>
      <c r="AE544" s="2"/>
      <c r="AF544" s="2"/>
      <c r="AG544" s="2"/>
      <c r="AH544" s="2"/>
      <c r="AT544" s="5"/>
      <c r="AW544" s="2"/>
      <c r="AX544" s="2"/>
      <c r="BA544" s="2"/>
      <c r="BB544" s="2"/>
      <c r="BC544" s="2"/>
      <c r="BP544" s="2"/>
      <c r="BQ544" s="2"/>
    </row>
    <row r="545" spans="14:75" s="1" customFormat="1" ht="20.25" customHeight="1" x14ac:dyDescent="0.25">
      <c r="N545" s="77"/>
      <c r="O545" s="3"/>
      <c r="Q545" s="4"/>
      <c r="R545" s="4"/>
      <c r="S545" s="4"/>
      <c r="T545" s="40"/>
      <c r="U545" s="17"/>
      <c r="V545" s="4"/>
      <c r="W545" s="4"/>
      <c r="X545" s="4"/>
      <c r="Z545" s="2"/>
      <c r="AA545" s="2"/>
      <c r="AD545" s="26"/>
      <c r="AE545" s="2"/>
      <c r="AF545" s="2"/>
      <c r="AG545" s="2"/>
      <c r="AH545" s="2"/>
      <c r="AT545" s="5"/>
      <c r="AW545" s="2"/>
      <c r="AX545" s="2"/>
      <c r="BA545" s="2"/>
      <c r="BB545" s="2"/>
      <c r="BC545" s="2"/>
      <c r="BP545" s="2"/>
      <c r="BQ545" s="2"/>
      <c r="BV545" s="17"/>
      <c r="BW545" s="17"/>
    </row>
    <row r="546" spans="14:75" s="1" customFormat="1" ht="20.25" customHeight="1" x14ac:dyDescent="0.25">
      <c r="N546" s="77"/>
      <c r="O546" s="3"/>
      <c r="Q546" s="4"/>
      <c r="R546" s="4"/>
      <c r="S546" s="4"/>
      <c r="T546" s="40"/>
      <c r="U546" s="17"/>
      <c r="V546" s="4"/>
      <c r="W546" s="4"/>
      <c r="X546" s="4"/>
      <c r="Z546" s="2"/>
      <c r="AA546" s="2"/>
      <c r="AD546" s="26"/>
      <c r="AE546" s="2"/>
      <c r="AF546" s="2"/>
      <c r="AG546" s="2"/>
      <c r="AH546" s="2"/>
      <c r="AT546" s="5"/>
      <c r="AW546" s="2"/>
      <c r="AX546" s="2"/>
      <c r="BA546" s="2"/>
      <c r="BB546" s="2"/>
      <c r="BC546" s="2"/>
      <c r="BP546" s="2"/>
      <c r="BQ546" s="2"/>
      <c r="BV546" s="17"/>
      <c r="BW546" s="17"/>
    </row>
    <row r="547" spans="14:75" s="1" customFormat="1" ht="20.25" customHeight="1" x14ac:dyDescent="0.25">
      <c r="N547" s="77"/>
      <c r="O547" s="3"/>
      <c r="Q547" s="4"/>
      <c r="R547" s="4"/>
      <c r="S547" s="4"/>
      <c r="T547" s="40"/>
      <c r="U547" s="17"/>
      <c r="V547" s="4"/>
      <c r="W547" s="4"/>
      <c r="X547" s="4"/>
      <c r="Z547" s="2"/>
      <c r="AA547" s="2"/>
      <c r="AD547" s="26"/>
      <c r="AE547" s="2"/>
      <c r="AF547" s="2"/>
      <c r="AG547" s="2"/>
      <c r="AH547" s="2"/>
      <c r="AT547" s="5"/>
      <c r="AW547" s="2"/>
      <c r="AX547" s="2"/>
      <c r="BA547" s="2"/>
      <c r="BB547" s="2"/>
      <c r="BC547" s="2"/>
      <c r="BP547" s="2"/>
      <c r="BQ547" s="2"/>
    </row>
    <row r="548" spans="14:75" s="1" customFormat="1" ht="20.25" customHeight="1" x14ac:dyDescent="0.25">
      <c r="N548" s="77"/>
      <c r="O548" s="3"/>
      <c r="Q548" s="4"/>
      <c r="R548" s="4"/>
      <c r="S548" s="4"/>
      <c r="T548" s="40"/>
      <c r="U548" s="17"/>
      <c r="V548" s="4"/>
      <c r="W548" s="4"/>
      <c r="X548" s="4"/>
      <c r="Z548" s="2"/>
      <c r="AA548" s="2"/>
      <c r="AD548" s="26"/>
      <c r="AE548" s="2"/>
      <c r="AF548" s="2"/>
      <c r="AG548" s="2"/>
      <c r="AH548" s="2"/>
      <c r="AT548" s="5"/>
      <c r="AW548" s="2"/>
      <c r="AX548" s="2"/>
      <c r="BA548" s="2"/>
      <c r="BB548" s="2"/>
      <c r="BC548" s="2"/>
      <c r="BP548" s="2"/>
      <c r="BQ548" s="2"/>
      <c r="BV548" s="17"/>
      <c r="BW548" s="17"/>
    </row>
    <row r="549" spans="14:75" s="1" customFormat="1" ht="20.25" customHeight="1" x14ac:dyDescent="0.25">
      <c r="N549" s="77"/>
      <c r="O549" s="3"/>
      <c r="Q549" s="4"/>
      <c r="R549" s="4"/>
      <c r="S549" s="4"/>
      <c r="T549" s="40"/>
      <c r="U549" s="17"/>
      <c r="V549" s="4"/>
      <c r="W549" s="4"/>
      <c r="X549" s="4"/>
      <c r="Z549" s="2"/>
      <c r="AA549" s="2"/>
      <c r="AD549" s="26"/>
      <c r="AE549" s="2"/>
      <c r="AF549" s="2"/>
      <c r="AG549" s="2"/>
      <c r="AH549" s="2"/>
      <c r="AT549" s="5"/>
      <c r="AW549" s="2"/>
      <c r="AX549" s="2"/>
      <c r="BA549" s="2"/>
      <c r="BB549" s="2"/>
      <c r="BC549" s="2"/>
      <c r="BP549" s="2"/>
      <c r="BQ549" s="2"/>
    </row>
    <row r="550" spans="14:75" s="1" customFormat="1" ht="20.25" customHeight="1" x14ac:dyDescent="0.25">
      <c r="N550" s="77"/>
      <c r="O550" s="3"/>
      <c r="Q550" s="4"/>
      <c r="R550" s="4"/>
      <c r="S550" s="4"/>
      <c r="T550" s="40"/>
      <c r="U550" s="17"/>
      <c r="V550" s="4"/>
      <c r="W550" s="4"/>
      <c r="X550" s="4"/>
      <c r="Z550" s="2"/>
      <c r="AA550" s="2"/>
      <c r="AD550" s="26"/>
      <c r="AE550" s="2"/>
      <c r="AF550" s="2"/>
      <c r="AG550" s="2"/>
      <c r="AH550" s="2"/>
      <c r="AT550" s="5"/>
      <c r="AW550" s="2"/>
      <c r="AX550" s="2"/>
      <c r="BA550" s="2"/>
      <c r="BB550" s="2"/>
      <c r="BC550" s="2"/>
      <c r="BP550" s="2"/>
      <c r="BQ550" s="2"/>
      <c r="BV550" s="17"/>
      <c r="BW550" s="17"/>
    </row>
    <row r="551" spans="14:75" s="1" customFormat="1" ht="20.25" customHeight="1" x14ac:dyDescent="0.25">
      <c r="N551" s="77"/>
      <c r="O551" s="3"/>
      <c r="Q551" s="4"/>
      <c r="R551" s="4"/>
      <c r="S551" s="4"/>
      <c r="T551" s="40"/>
      <c r="U551" s="17"/>
      <c r="V551" s="4"/>
      <c r="W551" s="4"/>
      <c r="X551" s="4"/>
      <c r="Z551" s="2"/>
      <c r="AA551" s="2"/>
      <c r="AD551" s="26"/>
      <c r="AE551" s="2"/>
      <c r="AF551" s="2"/>
      <c r="AG551" s="2"/>
      <c r="AH551" s="2"/>
      <c r="AT551" s="5"/>
      <c r="AW551" s="2"/>
      <c r="AX551" s="2"/>
      <c r="BA551" s="2"/>
      <c r="BB551" s="2"/>
      <c r="BC551" s="2"/>
      <c r="BP551" s="2"/>
      <c r="BQ551" s="2"/>
    </row>
    <row r="552" spans="14:75" s="1" customFormat="1" ht="20.25" customHeight="1" x14ac:dyDescent="0.25">
      <c r="N552" s="77"/>
      <c r="O552" s="3"/>
      <c r="Q552" s="4"/>
      <c r="R552" s="4"/>
      <c r="S552" s="4"/>
      <c r="T552" s="40"/>
      <c r="U552" s="17"/>
      <c r="V552" s="4"/>
      <c r="W552" s="4"/>
      <c r="X552" s="4"/>
      <c r="Z552" s="2"/>
      <c r="AA552" s="2"/>
      <c r="AD552" s="26"/>
      <c r="AE552" s="2"/>
      <c r="AF552" s="2"/>
      <c r="AG552" s="2"/>
      <c r="AH552" s="2"/>
      <c r="AT552" s="5"/>
      <c r="AW552" s="2"/>
      <c r="AX552" s="2"/>
      <c r="BA552" s="2"/>
      <c r="BB552" s="2"/>
      <c r="BC552" s="2"/>
      <c r="BP552" s="2"/>
      <c r="BQ552" s="2"/>
    </row>
    <row r="553" spans="14:75" s="1" customFormat="1" ht="20.25" customHeight="1" x14ac:dyDescent="0.25">
      <c r="N553" s="77"/>
      <c r="O553" s="3"/>
      <c r="Q553" s="4"/>
      <c r="R553" s="4"/>
      <c r="S553" s="4"/>
      <c r="T553" s="40"/>
      <c r="U553" s="17"/>
      <c r="V553" s="4"/>
      <c r="W553" s="4"/>
      <c r="X553" s="4"/>
      <c r="Z553" s="2"/>
      <c r="AA553" s="2"/>
      <c r="AD553" s="26"/>
      <c r="AE553" s="2"/>
      <c r="AF553" s="2"/>
      <c r="AG553" s="2"/>
      <c r="AH553" s="2"/>
      <c r="AT553" s="5"/>
      <c r="AW553" s="2"/>
      <c r="AX553" s="2"/>
      <c r="BA553" s="2"/>
      <c r="BB553" s="2"/>
      <c r="BC553" s="2"/>
      <c r="BP553" s="2"/>
      <c r="BQ553" s="2"/>
      <c r="BV553" s="17"/>
      <c r="BW553" s="17"/>
    </row>
    <row r="554" spans="14:75" s="1" customFormat="1" ht="20.25" customHeight="1" x14ac:dyDescent="0.25">
      <c r="N554" s="77"/>
      <c r="O554" s="3"/>
      <c r="Q554" s="4"/>
      <c r="R554" s="4"/>
      <c r="S554" s="4"/>
      <c r="T554" s="40"/>
      <c r="U554" s="17"/>
      <c r="V554" s="4"/>
      <c r="W554" s="4"/>
      <c r="X554" s="4"/>
      <c r="Z554" s="2"/>
      <c r="AA554" s="2"/>
      <c r="AD554" s="26"/>
      <c r="AE554" s="2"/>
      <c r="AF554" s="2"/>
      <c r="AG554" s="2"/>
      <c r="AH554" s="2"/>
      <c r="AT554" s="5"/>
      <c r="AW554" s="2"/>
      <c r="AX554" s="2"/>
      <c r="BA554" s="2"/>
      <c r="BB554" s="2"/>
      <c r="BC554" s="2"/>
      <c r="BP554" s="2"/>
      <c r="BQ554" s="2"/>
    </row>
    <row r="555" spans="14:75" s="1" customFormat="1" ht="20.25" customHeight="1" x14ac:dyDescent="0.25">
      <c r="N555" s="77"/>
      <c r="O555" s="3"/>
      <c r="Q555" s="4"/>
      <c r="R555" s="4"/>
      <c r="S555" s="4"/>
      <c r="T555" s="40"/>
      <c r="U555" s="17"/>
      <c r="V555" s="4"/>
      <c r="W555" s="4"/>
      <c r="X555" s="4"/>
      <c r="Z555" s="2"/>
      <c r="AA555" s="2"/>
      <c r="AD555" s="26"/>
      <c r="AE555" s="2"/>
      <c r="AF555" s="2"/>
      <c r="AG555" s="2"/>
      <c r="AH555" s="2"/>
      <c r="AT555" s="5"/>
      <c r="AW555" s="2"/>
      <c r="AX555" s="2"/>
      <c r="BA555" s="2"/>
      <c r="BB555" s="2"/>
      <c r="BC555" s="2"/>
      <c r="BP555" s="2"/>
      <c r="BQ555" s="2"/>
      <c r="BV555" s="17"/>
      <c r="BW555" s="17"/>
    </row>
    <row r="556" spans="14:75" s="1" customFormat="1" ht="20.25" customHeight="1" x14ac:dyDescent="0.25">
      <c r="N556" s="77"/>
      <c r="O556" s="3"/>
      <c r="Q556" s="4"/>
      <c r="R556" s="4"/>
      <c r="S556" s="4"/>
      <c r="T556" s="40"/>
      <c r="U556" s="17"/>
      <c r="V556" s="4"/>
      <c r="W556" s="4"/>
      <c r="X556" s="4"/>
      <c r="Z556" s="2"/>
      <c r="AA556" s="2"/>
      <c r="AD556" s="26"/>
      <c r="AE556" s="2"/>
      <c r="AF556" s="2"/>
      <c r="AG556" s="2"/>
      <c r="AH556" s="2"/>
      <c r="AT556" s="5"/>
      <c r="AW556" s="2"/>
      <c r="AX556" s="2"/>
      <c r="BA556" s="2"/>
      <c r="BB556" s="2"/>
      <c r="BC556" s="2"/>
      <c r="BP556" s="2"/>
      <c r="BQ556" s="2"/>
    </row>
    <row r="557" spans="14:75" s="1" customFormat="1" ht="20.25" customHeight="1" x14ac:dyDescent="0.25">
      <c r="N557" s="77"/>
      <c r="O557" s="3"/>
      <c r="Q557" s="4"/>
      <c r="R557" s="4"/>
      <c r="S557" s="4"/>
      <c r="T557" s="40"/>
      <c r="U557" s="17"/>
      <c r="V557" s="4"/>
      <c r="W557" s="4"/>
      <c r="X557" s="4"/>
      <c r="Z557" s="2"/>
      <c r="AA557" s="2"/>
      <c r="AD557" s="26"/>
      <c r="AE557" s="2"/>
      <c r="AF557" s="2"/>
      <c r="AG557" s="2"/>
      <c r="AH557" s="2"/>
      <c r="AT557" s="5"/>
      <c r="AW557" s="2"/>
      <c r="AX557" s="2"/>
      <c r="BA557" s="2"/>
      <c r="BB557" s="2"/>
      <c r="BC557" s="2"/>
      <c r="BP557" s="2"/>
      <c r="BQ557" s="2"/>
      <c r="BV557" s="17"/>
      <c r="BW557" s="17"/>
    </row>
    <row r="558" spans="14:75" s="1" customFormat="1" ht="20.25" customHeight="1" x14ac:dyDescent="0.25">
      <c r="N558" s="77"/>
      <c r="O558" s="3"/>
      <c r="Q558" s="4"/>
      <c r="R558" s="4"/>
      <c r="S558" s="4"/>
      <c r="T558" s="40"/>
      <c r="U558" s="17"/>
      <c r="V558" s="4"/>
      <c r="W558" s="4"/>
      <c r="X558" s="4"/>
      <c r="Z558" s="2"/>
      <c r="AA558" s="2"/>
      <c r="AD558" s="26"/>
      <c r="AE558" s="2"/>
      <c r="AF558" s="2"/>
      <c r="AG558" s="2"/>
      <c r="AH558" s="2"/>
      <c r="AT558" s="5"/>
      <c r="AW558" s="2"/>
      <c r="AX558" s="2"/>
      <c r="BA558" s="2"/>
      <c r="BB558" s="2"/>
      <c r="BC558" s="2"/>
      <c r="BP558" s="2"/>
      <c r="BQ558" s="2"/>
      <c r="BV558" s="17"/>
      <c r="BW558" s="17"/>
    </row>
    <row r="559" spans="14:75" s="1" customFormat="1" ht="20.25" customHeight="1" x14ac:dyDescent="0.25">
      <c r="N559" s="77"/>
      <c r="O559" s="3"/>
      <c r="Q559" s="4"/>
      <c r="R559" s="4"/>
      <c r="S559" s="4"/>
      <c r="T559" s="40"/>
      <c r="U559" s="17"/>
      <c r="V559" s="4"/>
      <c r="W559" s="4"/>
      <c r="X559" s="4"/>
      <c r="Z559" s="2"/>
      <c r="AA559" s="2"/>
      <c r="AD559" s="26"/>
      <c r="AE559" s="2"/>
      <c r="AF559" s="2"/>
      <c r="AG559" s="2"/>
      <c r="AH559" s="2"/>
      <c r="AT559" s="5"/>
      <c r="AW559" s="2"/>
      <c r="AX559" s="2"/>
      <c r="BA559" s="2"/>
      <c r="BB559" s="2"/>
      <c r="BC559" s="2"/>
      <c r="BP559" s="2"/>
      <c r="BQ559" s="2"/>
    </row>
    <row r="560" spans="14:75" s="1" customFormat="1" ht="20.25" customHeight="1" x14ac:dyDescent="0.25">
      <c r="N560" s="77"/>
      <c r="O560" s="3"/>
      <c r="Q560" s="4"/>
      <c r="R560" s="4"/>
      <c r="S560" s="4"/>
      <c r="T560" s="40"/>
      <c r="U560" s="17"/>
      <c r="V560" s="4"/>
      <c r="W560" s="4"/>
      <c r="X560" s="4"/>
      <c r="Z560" s="2"/>
      <c r="AA560" s="2"/>
      <c r="AD560" s="26"/>
      <c r="AE560" s="2"/>
      <c r="AF560" s="2"/>
      <c r="AG560" s="2"/>
      <c r="AH560" s="2"/>
      <c r="AT560" s="5"/>
      <c r="AW560" s="2"/>
      <c r="AX560" s="2"/>
      <c r="BA560" s="2"/>
      <c r="BB560" s="2"/>
      <c r="BC560" s="2"/>
      <c r="BP560" s="2"/>
      <c r="BQ560" s="2"/>
      <c r="BV560" s="17"/>
      <c r="BW560" s="17"/>
    </row>
    <row r="561" spans="14:75" s="1" customFormat="1" ht="20.25" customHeight="1" x14ac:dyDescent="0.25">
      <c r="N561" s="77"/>
      <c r="O561" s="3"/>
      <c r="Q561" s="4"/>
      <c r="R561" s="4"/>
      <c r="S561" s="4"/>
      <c r="T561" s="40"/>
      <c r="U561" s="17"/>
      <c r="V561" s="4"/>
      <c r="W561" s="4"/>
      <c r="X561" s="4"/>
      <c r="Z561" s="2"/>
      <c r="AA561" s="2"/>
      <c r="AD561" s="26"/>
      <c r="AE561" s="2"/>
      <c r="AF561" s="2"/>
      <c r="AG561" s="2"/>
      <c r="AH561" s="2"/>
      <c r="AT561" s="5"/>
      <c r="AW561" s="2"/>
      <c r="AX561" s="2"/>
      <c r="BA561" s="2"/>
      <c r="BB561" s="2"/>
      <c r="BC561" s="2"/>
      <c r="BP561" s="2"/>
      <c r="BQ561" s="2"/>
    </row>
    <row r="562" spans="14:75" s="1" customFormat="1" ht="20.25" customHeight="1" x14ac:dyDescent="0.25">
      <c r="N562" s="77"/>
      <c r="O562" s="3"/>
      <c r="Q562" s="4"/>
      <c r="R562" s="4"/>
      <c r="S562" s="4"/>
      <c r="T562" s="40"/>
      <c r="U562" s="17"/>
      <c r="V562" s="4"/>
      <c r="W562" s="4"/>
      <c r="X562" s="4"/>
      <c r="Z562" s="2"/>
      <c r="AA562" s="2"/>
      <c r="AD562" s="26"/>
      <c r="AE562" s="2"/>
      <c r="AF562" s="2"/>
      <c r="AG562" s="2"/>
      <c r="AH562" s="2"/>
      <c r="AT562" s="5"/>
      <c r="AW562" s="2"/>
      <c r="AX562" s="2"/>
      <c r="BA562" s="2"/>
      <c r="BB562" s="2"/>
      <c r="BC562" s="2"/>
      <c r="BP562" s="2"/>
      <c r="BQ562" s="2"/>
      <c r="BV562" s="17"/>
      <c r="BW562" s="17"/>
    </row>
    <row r="563" spans="14:75" s="1" customFormat="1" ht="20.25" customHeight="1" x14ac:dyDescent="0.25">
      <c r="N563" s="77"/>
      <c r="O563" s="3"/>
      <c r="Q563" s="4"/>
      <c r="R563" s="4"/>
      <c r="S563" s="4"/>
      <c r="T563" s="40"/>
      <c r="U563" s="17"/>
      <c r="V563" s="4"/>
      <c r="W563" s="4"/>
      <c r="X563" s="4"/>
      <c r="Z563" s="2"/>
      <c r="AA563" s="2"/>
      <c r="AD563" s="26"/>
      <c r="AE563" s="2"/>
      <c r="AF563" s="2"/>
      <c r="AG563" s="2"/>
      <c r="AH563" s="2"/>
      <c r="AT563" s="5"/>
      <c r="AW563" s="2"/>
      <c r="AX563" s="2"/>
      <c r="BA563" s="2"/>
      <c r="BB563" s="2"/>
      <c r="BC563" s="2"/>
      <c r="BP563" s="2"/>
      <c r="BQ563" s="2"/>
    </row>
    <row r="564" spans="14:75" s="1" customFormat="1" ht="20.25" customHeight="1" x14ac:dyDescent="0.25">
      <c r="N564" s="77"/>
      <c r="O564" s="3"/>
      <c r="Q564" s="4"/>
      <c r="R564" s="4"/>
      <c r="S564" s="4"/>
      <c r="T564" s="40"/>
      <c r="U564" s="17"/>
      <c r="V564" s="4"/>
      <c r="W564" s="4"/>
      <c r="X564" s="4"/>
      <c r="Z564" s="2"/>
      <c r="AA564" s="2"/>
      <c r="AD564" s="26"/>
      <c r="AE564" s="2"/>
      <c r="AF564" s="2"/>
      <c r="AG564" s="2"/>
      <c r="AH564" s="2"/>
      <c r="AT564" s="5"/>
      <c r="AW564" s="2"/>
      <c r="AX564" s="2"/>
      <c r="BA564" s="2"/>
      <c r="BB564" s="2"/>
      <c r="BC564" s="2"/>
      <c r="BP564" s="2"/>
      <c r="BQ564" s="2"/>
      <c r="BV564" s="17"/>
      <c r="BW564" s="17"/>
    </row>
    <row r="565" spans="14:75" s="1" customFormat="1" ht="20.25" customHeight="1" x14ac:dyDescent="0.25">
      <c r="N565" s="77"/>
      <c r="O565" s="3"/>
      <c r="Q565" s="4"/>
      <c r="R565" s="4"/>
      <c r="S565" s="4"/>
      <c r="T565" s="40"/>
      <c r="U565" s="17"/>
      <c r="V565" s="4"/>
      <c r="W565" s="4"/>
      <c r="X565" s="4"/>
      <c r="Z565" s="2"/>
      <c r="AA565" s="2"/>
      <c r="AD565" s="26"/>
      <c r="AE565" s="2"/>
      <c r="AF565" s="2"/>
      <c r="AG565" s="2"/>
      <c r="AH565" s="2"/>
      <c r="AT565" s="5"/>
      <c r="AW565" s="2"/>
      <c r="AX565" s="2"/>
      <c r="BA565" s="2"/>
      <c r="BB565" s="2"/>
      <c r="BC565" s="2"/>
      <c r="BP565" s="2"/>
      <c r="BQ565" s="2"/>
      <c r="BV565" s="17"/>
      <c r="BW565" s="17"/>
    </row>
    <row r="566" spans="14:75" s="1" customFormat="1" ht="20.25" customHeight="1" x14ac:dyDescent="0.25">
      <c r="N566" s="77"/>
      <c r="O566" s="3"/>
      <c r="Q566" s="4"/>
      <c r="R566" s="4"/>
      <c r="S566" s="4"/>
      <c r="T566" s="40"/>
      <c r="U566" s="17"/>
      <c r="V566" s="4"/>
      <c r="W566" s="4"/>
      <c r="X566" s="4"/>
      <c r="Z566" s="2"/>
      <c r="AA566" s="2"/>
      <c r="AD566" s="26"/>
      <c r="AE566" s="2"/>
      <c r="AF566" s="2"/>
      <c r="AG566" s="2"/>
      <c r="AH566" s="2"/>
      <c r="AT566" s="5"/>
      <c r="AW566" s="2"/>
      <c r="AX566" s="2"/>
      <c r="BA566" s="2"/>
      <c r="BB566" s="2"/>
      <c r="BC566" s="2"/>
      <c r="BP566" s="2"/>
      <c r="BQ566" s="2"/>
    </row>
    <row r="567" spans="14:75" s="1" customFormat="1" ht="20.25" customHeight="1" x14ac:dyDescent="0.25">
      <c r="N567" s="77"/>
      <c r="O567" s="3"/>
      <c r="Q567" s="4"/>
      <c r="R567" s="4"/>
      <c r="S567" s="4"/>
      <c r="T567" s="40"/>
      <c r="U567" s="17"/>
      <c r="V567" s="4"/>
      <c r="W567" s="4"/>
      <c r="X567" s="4"/>
      <c r="Z567" s="2"/>
      <c r="AA567" s="2"/>
      <c r="AD567" s="26"/>
      <c r="AE567" s="2"/>
      <c r="AF567" s="2"/>
      <c r="AG567" s="2"/>
      <c r="AH567" s="2"/>
      <c r="AT567" s="5"/>
      <c r="AW567" s="2"/>
      <c r="AX567" s="2"/>
      <c r="BA567" s="2"/>
      <c r="BB567" s="2"/>
      <c r="BC567" s="2"/>
      <c r="BP567" s="2"/>
      <c r="BQ567" s="2"/>
      <c r="BV567" s="17"/>
      <c r="BW567" s="17"/>
    </row>
    <row r="568" spans="14:75" s="1" customFormat="1" ht="20.25" customHeight="1" x14ac:dyDescent="0.25">
      <c r="N568" s="77"/>
      <c r="O568" s="3"/>
      <c r="Q568" s="4"/>
      <c r="R568" s="4"/>
      <c r="S568" s="4"/>
      <c r="T568" s="40"/>
      <c r="U568" s="17"/>
      <c r="V568" s="4"/>
      <c r="W568" s="4"/>
      <c r="X568" s="4"/>
      <c r="Z568" s="2"/>
      <c r="AA568" s="2"/>
      <c r="AD568" s="26"/>
      <c r="AE568" s="2"/>
      <c r="AF568" s="2"/>
      <c r="AG568" s="2"/>
      <c r="AH568" s="2"/>
      <c r="AT568" s="5"/>
      <c r="AW568" s="2"/>
      <c r="AX568" s="2"/>
      <c r="BA568" s="2"/>
      <c r="BB568" s="2"/>
      <c r="BC568" s="2"/>
      <c r="BP568" s="2"/>
      <c r="BQ568" s="2"/>
    </row>
    <row r="569" spans="14:75" s="1" customFormat="1" ht="20.25" customHeight="1" x14ac:dyDescent="0.25">
      <c r="N569" s="77"/>
      <c r="O569" s="3"/>
      <c r="Q569" s="4"/>
      <c r="R569" s="4"/>
      <c r="S569" s="4"/>
      <c r="T569" s="40"/>
      <c r="U569" s="17"/>
      <c r="V569" s="4"/>
      <c r="W569" s="4"/>
      <c r="X569" s="4"/>
      <c r="Z569" s="2"/>
      <c r="AA569" s="2"/>
      <c r="AD569" s="26"/>
      <c r="AE569" s="2"/>
      <c r="AF569" s="2"/>
      <c r="AG569" s="2"/>
      <c r="AH569" s="2"/>
      <c r="AT569" s="5"/>
      <c r="AW569" s="2"/>
      <c r="AX569" s="2"/>
      <c r="BA569" s="2"/>
      <c r="BB569" s="2"/>
      <c r="BC569" s="2"/>
      <c r="BP569" s="2"/>
      <c r="BQ569" s="2"/>
      <c r="BS569" s="17"/>
      <c r="BT569" s="17"/>
      <c r="BU569" s="17"/>
      <c r="BV569" s="17"/>
      <c r="BW569" s="17"/>
    </row>
    <row r="570" spans="14:75" s="1" customFormat="1" ht="20.25" customHeight="1" x14ac:dyDescent="0.25">
      <c r="N570" s="77"/>
      <c r="O570" s="3"/>
      <c r="Q570" s="4"/>
      <c r="R570" s="4"/>
      <c r="S570" s="4"/>
      <c r="T570" s="40"/>
      <c r="U570" s="17"/>
      <c r="V570" s="4"/>
      <c r="W570" s="4"/>
      <c r="X570" s="4"/>
      <c r="Z570" s="2"/>
      <c r="AA570" s="2"/>
      <c r="AD570" s="26"/>
      <c r="AE570" s="2"/>
      <c r="AF570" s="2"/>
      <c r="AG570" s="2"/>
      <c r="AH570" s="2"/>
      <c r="AT570" s="5"/>
      <c r="AW570" s="2"/>
      <c r="AX570" s="2"/>
      <c r="BA570" s="2"/>
      <c r="BB570" s="2"/>
      <c r="BC570" s="2"/>
      <c r="BP570" s="2"/>
      <c r="BQ570" s="2"/>
    </row>
    <row r="571" spans="14:75" s="1" customFormat="1" ht="20.25" customHeight="1" x14ac:dyDescent="0.25">
      <c r="N571" s="77"/>
      <c r="O571" s="3"/>
      <c r="Q571" s="4"/>
      <c r="R571" s="4"/>
      <c r="S571" s="4"/>
      <c r="T571" s="40"/>
      <c r="U571" s="17"/>
      <c r="V571" s="4"/>
      <c r="W571" s="4"/>
      <c r="X571" s="4"/>
      <c r="Z571" s="2"/>
      <c r="AA571" s="2"/>
      <c r="AD571" s="26"/>
      <c r="AE571" s="2"/>
      <c r="AF571" s="2"/>
      <c r="AG571" s="2"/>
      <c r="AH571" s="2"/>
      <c r="AT571" s="5"/>
      <c r="AW571" s="2"/>
      <c r="AX571" s="2"/>
      <c r="BA571" s="2"/>
      <c r="BB571" s="2"/>
      <c r="BC571" s="2"/>
      <c r="BP571" s="2"/>
      <c r="BQ571" s="2"/>
      <c r="BR571" s="2"/>
      <c r="BS571" s="17"/>
      <c r="BT571" s="17"/>
      <c r="BU571" s="17"/>
      <c r="BV571" s="17"/>
      <c r="BW571" s="17"/>
    </row>
    <row r="572" spans="14:75" s="1" customFormat="1" ht="20.25" customHeight="1" x14ac:dyDescent="0.25">
      <c r="N572" s="77"/>
      <c r="O572" s="3"/>
      <c r="Q572" s="4"/>
      <c r="R572" s="4"/>
      <c r="S572" s="4"/>
      <c r="T572" s="40"/>
      <c r="U572" s="17"/>
      <c r="V572" s="4"/>
      <c r="W572" s="4"/>
      <c r="X572" s="4"/>
      <c r="Z572" s="2"/>
      <c r="AA572" s="2"/>
      <c r="AD572" s="26"/>
      <c r="AE572" s="2"/>
      <c r="AF572" s="2"/>
      <c r="AG572" s="2"/>
      <c r="AH572" s="2"/>
      <c r="AT572" s="5"/>
      <c r="AW572" s="2"/>
      <c r="AX572" s="2"/>
      <c r="BA572" s="2"/>
      <c r="BB572" s="2"/>
      <c r="BC572" s="2"/>
      <c r="BP572" s="2"/>
      <c r="BQ572" s="2"/>
      <c r="BR572" s="2"/>
      <c r="BS572" s="17"/>
      <c r="BT572" s="17"/>
      <c r="BU572" s="17"/>
      <c r="BV572" s="17"/>
      <c r="BW572" s="17"/>
    </row>
    <row r="573" spans="14:75" s="1" customFormat="1" ht="20.25" customHeight="1" x14ac:dyDescent="0.25">
      <c r="N573" s="77"/>
      <c r="O573" s="3"/>
      <c r="Q573" s="4"/>
      <c r="R573" s="4"/>
      <c r="S573" s="4"/>
      <c r="T573" s="40"/>
      <c r="U573" s="17"/>
      <c r="V573" s="4"/>
      <c r="W573" s="4"/>
      <c r="X573" s="4"/>
      <c r="Z573" s="2"/>
      <c r="AA573" s="2"/>
      <c r="AD573" s="26"/>
      <c r="AE573" s="2"/>
      <c r="AF573" s="2"/>
      <c r="AG573" s="2"/>
      <c r="AH573" s="2"/>
      <c r="AT573" s="5"/>
      <c r="AW573" s="2"/>
      <c r="AX573" s="2"/>
      <c r="BA573" s="2"/>
      <c r="BB573" s="2"/>
      <c r="BC573" s="2"/>
      <c r="BP573" s="2"/>
      <c r="BQ573" s="2"/>
    </row>
    <row r="574" spans="14:75" s="1" customFormat="1" ht="20.25" customHeight="1" x14ac:dyDescent="0.25">
      <c r="N574" s="77"/>
      <c r="O574" s="3"/>
      <c r="Q574" s="4"/>
      <c r="R574" s="4"/>
      <c r="S574" s="4"/>
      <c r="T574" s="40"/>
      <c r="U574" s="17"/>
      <c r="V574" s="4"/>
      <c r="W574" s="4"/>
      <c r="X574" s="4"/>
      <c r="Z574" s="2"/>
      <c r="AA574" s="2"/>
      <c r="AD574" s="26"/>
      <c r="AE574" s="2"/>
      <c r="AF574" s="2"/>
      <c r="AG574" s="2"/>
      <c r="AH574" s="2"/>
      <c r="AT574" s="5"/>
      <c r="AW574" s="2"/>
      <c r="AX574" s="2"/>
      <c r="BA574" s="2"/>
      <c r="BB574" s="2"/>
      <c r="BC574" s="2"/>
      <c r="BP574" s="2"/>
      <c r="BQ574" s="2"/>
      <c r="BR574" s="2"/>
      <c r="BS574" s="17"/>
      <c r="BT574" s="17"/>
      <c r="BU574" s="17"/>
      <c r="BV574" s="17"/>
      <c r="BW574" s="17"/>
    </row>
    <row r="575" spans="14:75" s="1" customFormat="1" ht="20.25" customHeight="1" x14ac:dyDescent="0.25">
      <c r="N575" s="77"/>
      <c r="O575" s="3"/>
      <c r="Q575" s="4"/>
      <c r="R575" s="4"/>
      <c r="S575" s="4"/>
      <c r="T575" s="40"/>
      <c r="U575" s="17"/>
      <c r="V575" s="4"/>
      <c r="W575" s="4"/>
      <c r="X575" s="4"/>
      <c r="Z575" s="2"/>
      <c r="AA575" s="2"/>
      <c r="AD575" s="26"/>
      <c r="AE575" s="2"/>
      <c r="AF575" s="2"/>
      <c r="AG575" s="2"/>
      <c r="AH575" s="2"/>
      <c r="AT575" s="5"/>
      <c r="AW575" s="2"/>
      <c r="AX575" s="2"/>
      <c r="BA575" s="2"/>
      <c r="BB575" s="2"/>
      <c r="BC575" s="2"/>
      <c r="BP575" s="2"/>
      <c r="BQ575" s="2"/>
    </row>
    <row r="576" spans="14:75" s="1" customFormat="1" ht="20.25" customHeight="1" x14ac:dyDescent="0.25">
      <c r="N576" s="77"/>
      <c r="O576" s="3"/>
      <c r="Q576" s="4"/>
      <c r="R576" s="4"/>
      <c r="S576" s="4"/>
      <c r="T576" s="40"/>
      <c r="U576" s="17"/>
      <c r="V576" s="4"/>
      <c r="W576" s="4"/>
      <c r="X576" s="4"/>
      <c r="Z576" s="2"/>
      <c r="AA576" s="2"/>
      <c r="AD576" s="26"/>
      <c r="AE576" s="2"/>
      <c r="AF576" s="2"/>
      <c r="AG576" s="2"/>
      <c r="AH576" s="2"/>
      <c r="AT576" s="5"/>
      <c r="AW576" s="2"/>
      <c r="AX576" s="2"/>
      <c r="BA576" s="2"/>
      <c r="BB576" s="2"/>
      <c r="BC576" s="2"/>
      <c r="BP576" s="2"/>
      <c r="BQ576" s="2"/>
      <c r="BR576" s="2"/>
      <c r="BS576" s="17"/>
      <c r="BT576" s="17"/>
      <c r="BU576" s="17"/>
      <c r="BV576" s="17"/>
      <c r="BW576" s="17"/>
    </row>
    <row r="577" spans="14:75" s="1" customFormat="1" ht="20.25" customHeight="1" x14ac:dyDescent="0.25">
      <c r="N577" s="77"/>
      <c r="O577" s="3"/>
      <c r="Q577" s="4"/>
      <c r="R577" s="4"/>
      <c r="S577" s="4"/>
      <c r="T577" s="40"/>
      <c r="U577" s="17"/>
      <c r="V577" s="4"/>
      <c r="W577" s="4"/>
      <c r="X577" s="4"/>
      <c r="Z577" s="2"/>
      <c r="AA577" s="2"/>
      <c r="AD577" s="26"/>
      <c r="AE577" s="2"/>
      <c r="AF577" s="2"/>
      <c r="AG577" s="2"/>
      <c r="AH577" s="2"/>
      <c r="AT577" s="5"/>
      <c r="AW577" s="2"/>
      <c r="AX577" s="2"/>
      <c r="BA577" s="2"/>
      <c r="BB577" s="2"/>
      <c r="BC577" s="2"/>
      <c r="BP577" s="2"/>
      <c r="BQ577" s="2"/>
    </row>
    <row r="578" spans="14:75" s="1" customFormat="1" ht="20.25" customHeight="1" x14ac:dyDescent="0.25">
      <c r="N578" s="77"/>
      <c r="O578" s="3"/>
      <c r="Q578" s="4"/>
      <c r="R578" s="4"/>
      <c r="S578" s="4"/>
      <c r="T578" s="40"/>
      <c r="U578" s="17"/>
      <c r="V578" s="4"/>
      <c r="W578" s="4"/>
      <c r="X578" s="4"/>
      <c r="Z578" s="2"/>
      <c r="AA578" s="2"/>
      <c r="AD578" s="26"/>
      <c r="AE578" s="2"/>
      <c r="AF578" s="2"/>
      <c r="AG578" s="2"/>
      <c r="AH578" s="2"/>
      <c r="AT578" s="5"/>
      <c r="AW578" s="2"/>
      <c r="AX578" s="2"/>
      <c r="BA578" s="2"/>
      <c r="BB578" s="2"/>
      <c r="BC578" s="2"/>
      <c r="BP578" s="2"/>
      <c r="BQ578" s="2"/>
      <c r="BR578" s="2"/>
      <c r="BS578" s="17"/>
      <c r="BT578" s="17"/>
      <c r="BU578" s="17"/>
      <c r="BV578" s="17"/>
      <c r="BW578" s="17"/>
    </row>
    <row r="579" spans="14:75" s="1" customFormat="1" ht="20.25" customHeight="1" x14ac:dyDescent="0.25">
      <c r="N579" s="77"/>
      <c r="O579" s="3"/>
      <c r="Q579" s="4"/>
      <c r="R579" s="4"/>
      <c r="S579" s="4"/>
      <c r="T579" s="40"/>
      <c r="U579" s="17"/>
      <c r="V579" s="4"/>
      <c r="W579" s="4"/>
      <c r="X579" s="4"/>
      <c r="Z579" s="2"/>
      <c r="AA579" s="2"/>
      <c r="AD579" s="26"/>
      <c r="AE579" s="2"/>
      <c r="AF579" s="2"/>
      <c r="AG579" s="2"/>
      <c r="AH579" s="2"/>
      <c r="AT579" s="5"/>
      <c r="AW579" s="2"/>
      <c r="AX579" s="2"/>
      <c r="BA579" s="2"/>
      <c r="BB579" s="2"/>
      <c r="BC579" s="2"/>
      <c r="BP579" s="2"/>
      <c r="BQ579" s="2"/>
      <c r="BR579" s="2"/>
      <c r="BS579" s="17"/>
      <c r="BT579" s="17"/>
      <c r="BU579" s="17"/>
      <c r="BV579" s="17"/>
      <c r="BW579" s="17"/>
    </row>
    <row r="580" spans="14:75" s="1" customFormat="1" ht="20.25" customHeight="1" x14ac:dyDescent="0.25">
      <c r="N580" s="77"/>
      <c r="O580" s="3"/>
      <c r="Q580" s="4"/>
      <c r="R580" s="4"/>
      <c r="S580" s="4"/>
      <c r="T580" s="40"/>
      <c r="U580" s="17"/>
      <c r="V580" s="4"/>
      <c r="W580" s="4"/>
      <c r="X580" s="4"/>
      <c r="Z580" s="2"/>
      <c r="AA580" s="2"/>
      <c r="AD580" s="26"/>
      <c r="AE580" s="2"/>
      <c r="AF580" s="2"/>
      <c r="AG580" s="2"/>
      <c r="AH580" s="2"/>
      <c r="AT580" s="5"/>
      <c r="AW580" s="2"/>
      <c r="AX580" s="2"/>
      <c r="BA580" s="2"/>
      <c r="BB580" s="2"/>
      <c r="BC580" s="2"/>
      <c r="BP580" s="2"/>
      <c r="BQ580" s="2"/>
    </row>
    <row r="581" spans="14:75" s="1" customFormat="1" ht="20.25" customHeight="1" x14ac:dyDescent="0.25">
      <c r="N581" s="77"/>
      <c r="O581" s="3"/>
      <c r="Q581" s="4"/>
      <c r="R581" s="4"/>
      <c r="S581" s="4"/>
      <c r="T581" s="40"/>
      <c r="U581" s="17"/>
      <c r="V581" s="4"/>
      <c r="W581" s="4"/>
      <c r="X581" s="4"/>
      <c r="Z581" s="2"/>
      <c r="AA581" s="2"/>
      <c r="AD581" s="26"/>
      <c r="AE581" s="2"/>
      <c r="AF581" s="2"/>
      <c r="AG581" s="2"/>
      <c r="AH581" s="2"/>
      <c r="AT581" s="5"/>
      <c r="AW581" s="2"/>
      <c r="AX581" s="2"/>
      <c r="BA581" s="2"/>
      <c r="BB581" s="2"/>
      <c r="BC581" s="2"/>
      <c r="BP581" s="2"/>
      <c r="BQ581" s="2"/>
      <c r="BR581" s="2"/>
      <c r="BS581" s="17"/>
      <c r="BT581" s="17"/>
      <c r="BU581" s="17"/>
      <c r="BV581" s="17"/>
      <c r="BW581" s="17"/>
    </row>
    <row r="582" spans="14:75" s="1" customFormat="1" ht="20.25" customHeight="1" x14ac:dyDescent="0.25">
      <c r="N582" s="77"/>
      <c r="O582" s="3"/>
      <c r="Q582" s="4"/>
      <c r="R582" s="4"/>
      <c r="S582" s="4"/>
      <c r="T582" s="40"/>
      <c r="U582" s="17"/>
      <c r="V582" s="4"/>
      <c r="W582" s="4"/>
      <c r="X582" s="4"/>
      <c r="Z582" s="2"/>
      <c r="AA582" s="2"/>
      <c r="AD582" s="26"/>
      <c r="AE582" s="2"/>
      <c r="AF582" s="2"/>
      <c r="AG582" s="2"/>
      <c r="AH582" s="2"/>
      <c r="AT582" s="5"/>
      <c r="AW582" s="2"/>
      <c r="AX582" s="2"/>
      <c r="BA582" s="2"/>
      <c r="BB582" s="2"/>
      <c r="BC582" s="2"/>
      <c r="BP582" s="2"/>
      <c r="BQ582" s="2"/>
    </row>
    <row r="583" spans="14:75" s="1" customFormat="1" ht="20.25" customHeight="1" x14ac:dyDescent="0.25">
      <c r="N583" s="77"/>
      <c r="O583" s="3"/>
      <c r="Q583" s="4"/>
      <c r="R583" s="4"/>
      <c r="S583" s="4"/>
      <c r="T583" s="40"/>
      <c r="U583" s="17"/>
      <c r="V583" s="4"/>
      <c r="W583" s="4"/>
      <c r="X583" s="4"/>
      <c r="Z583" s="2"/>
      <c r="AA583" s="2"/>
      <c r="AD583" s="26"/>
      <c r="AE583" s="2"/>
      <c r="AF583" s="2"/>
      <c r="AG583" s="2"/>
      <c r="AH583" s="2"/>
      <c r="AT583" s="5"/>
      <c r="AW583" s="2"/>
      <c r="AX583" s="2"/>
      <c r="BA583" s="2"/>
      <c r="BB583" s="2"/>
      <c r="BC583" s="2"/>
      <c r="BP583" s="2"/>
      <c r="BQ583" s="2"/>
      <c r="BR583" s="2"/>
      <c r="BS583" s="17"/>
      <c r="BT583" s="17"/>
      <c r="BU583" s="17"/>
      <c r="BV583" s="17"/>
      <c r="BW583" s="17"/>
    </row>
    <row r="584" spans="14:75" s="1" customFormat="1" ht="20.25" customHeight="1" x14ac:dyDescent="0.25">
      <c r="N584" s="77"/>
      <c r="O584" s="3"/>
      <c r="Q584" s="4"/>
      <c r="R584" s="4"/>
      <c r="S584" s="4"/>
      <c r="T584" s="40"/>
      <c r="U584" s="17"/>
      <c r="V584" s="4"/>
      <c r="W584" s="4"/>
      <c r="X584" s="4"/>
      <c r="Z584" s="2"/>
      <c r="AA584" s="2"/>
      <c r="AD584" s="26"/>
      <c r="AE584" s="2"/>
      <c r="AF584" s="2"/>
      <c r="AG584" s="2"/>
      <c r="AH584" s="2"/>
      <c r="AT584" s="5"/>
      <c r="AW584" s="2"/>
      <c r="AX584" s="2"/>
      <c r="BA584" s="2"/>
      <c r="BB584" s="2"/>
      <c r="BC584" s="2"/>
      <c r="BP584" s="2"/>
      <c r="BQ584" s="2"/>
    </row>
    <row r="585" spans="14:75" s="1" customFormat="1" ht="20.25" customHeight="1" x14ac:dyDescent="0.25">
      <c r="N585" s="77"/>
      <c r="O585" s="3"/>
      <c r="Q585" s="4"/>
      <c r="R585" s="4"/>
      <c r="S585" s="4"/>
      <c r="T585" s="40"/>
      <c r="U585" s="17"/>
      <c r="V585" s="4"/>
      <c r="W585" s="4"/>
      <c r="X585" s="4"/>
      <c r="Z585" s="2"/>
      <c r="AA585" s="2"/>
      <c r="AD585" s="26"/>
      <c r="AE585" s="2"/>
      <c r="AF585" s="2"/>
      <c r="AG585" s="2"/>
      <c r="AH585" s="2"/>
      <c r="AT585" s="5"/>
      <c r="AW585" s="2"/>
      <c r="AX585" s="2"/>
      <c r="BA585" s="2"/>
      <c r="BB585" s="2"/>
      <c r="BC585" s="2"/>
      <c r="BP585" s="2"/>
      <c r="BQ585" s="2"/>
    </row>
    <row r="586" spans="14:75" s="1" customFormat="1" ht="20.25" customHeight="1" x14ac:dyDescent="0.25">
      <c r="N586" s="77"/>
      <c r="O586" s="3"/>
      <c r="Q586" s="4"/>
      <c r="R586" s="4"/>
      <c r="S586" s="4"/>
      <c r="T586" s="40"/>
      <c r="U586" s="17"/>
      <c r="V586" s="4"/>
      <c r="W586" s="4"/>
      <c r="X586" s="4"/>
      <c r="Z586" s="2"/>
      <c r="AA586" s="2"/>
      <c r="AD586" s="26"/>
      <c r="AE586" s="2"/>
      <c r="AF586" s="2"/>
      <c r="AG586" s="2"/>
      <c r="AH586" s="2"/>
      <c r="AT586" s="5"/>
      <c r="AW586" s="2"/>
      <c r="AX586" s="2"/>
      <c r="BA586" s="2"/>
      <c r="BB586" s="2"/>
      <c r="BC586" s="2"/>
      <c r="BP586" s="2"/>
      <c r="BQ586" s="2"/>
    </row>
    <row r="587" spans="14:75" s="1" customFormat="1" ht="20.25" customHeight="1" x14ac:dyDescent="0.25">
      <c r="N587" s="77"/>
      <c r="O587" s="3"/>
      <c r="Q587" s="4"/>
      <c r="R587" s="4"/>
      <c r="S587" s="4"/>
      <c r="T587" s="40"/>
      <c r="U587" s="17"/>
      <c r="V587" s="4"/>
      <c r="W587" s="4"/>
      <c r="X587" s="4"/>
      <c r="Z587" s="2"/>
      <c r="AA587" s="2"/>
      <c r="AD587" s="26"/>
      <c r="AE587" s="2"/>
      <c r="AF587" s="2"/>
      <c r="AG587" s="2"/>
      <c r="AH587" s="2"/>
      <c r="AT587" s="5"/>
      <c r="AW587" s="2"/>
      <c r="AX587" s="2"/>
      <c r="BA587" s="2"/>
      <c r="BB587" s="2"/>
      <c r="BC587" s="2"/>
      <c r="BP587" s="2"/>
      <c r="BQ587" s="2"/>
    </row>
    <row r="588" spans="14:75" s="1" customFormat="1" ht="20.25" customHeight="1" x14ac:dyDescent="0.25">
      <c r="N588" s="77"/>
      <c r="O588" s="3"/>
      <c r="Q588" s="4"/>
      <c r="R588" s="4"/>
      <c r="S588" s="4"/>
      <c r="T588" s="40"/>
      <c r="U588" s="17"/>
      <c r="V588" s="4"/>
      <c r="W588" s="4"/>
      <c r="X588" s="4"/>
      <c r="Z588" s="2"/>
      <c r="AA588" s="2"/>
      <c r="AD588" s="26"/>
      <c r="AE588" s="2"/>
      <c r="AF588" s="2"/>
      <c r="AG588" s="2"/>
      <c r="AH588" s="2"/>
      <c r="AT588" s="5"/>
      <c r="AW588" s="2"/>
      <c r="AX588" s="2"/>
      <c r="BA588" s="2"/>
      <c r="BB588" s="2"/>
      <c r="BC588" s="2"/>
      <c r="BP588" s="2"/>
      <c r="BQ588" s="2"/>
    </row>
    <row r="589" spans="14:75" s="1" customFormat="1" ht="20.25" customHeight="1" x14ac:dyDescent="0.25">
      <c r="N589" s="77"/>
      <c r="O589" s="3"/>
      <c r="Q589" s="4"/>
      <c r="R589" s="4"/>
      <c r="S589" s="4"/>
      <c r="T589" s="40"/>
      <c r="U589" s="17"/>
      <c r="V589" s="4"/>
      <c r="W589" s="4"/>
      <c r="X589" s="4"/>
      <c r="Z589" s="2"/>
      <c r="AA589" s="2"/>
      <c r="AD589" s="26"/>
      <c r="AE589" s="2"/>
      <c r="AF589" s="2"/>
      <c r="AG589" s="2"/>
      <c r="AH589" s="2"/>
      <c r="AT589" s="5"/>
      <c r="AW589" s="2"/>
      <c r="AX589" s="2"/>
      <c r="BA589" s="2"/>
      <c r="BB589" s="2"/>
      <c r="BC589" s="2"/>
      <c r="BP589" s="2"/>
      <c r="BQ589" s="2"/>
    </row>
    <row r="590" spans="14:75" s="1" customFormat="1" ht="20.25" customHeight="1" x14ac:dyDescent="0.25">
      <c r="N590" s="77"/>
      <c r="O590" s="3"/>
      <c r="Q590" s="4"/>
      <c r="R590" s="4"/>
      <c r="S590" s="4"/>
      <c r="T590" s="40"/>
      <c r="U590" s="17"/>
      <c r="V590" s="4"/>
      <c r="W590" s="4"/>
      <c r="X590" s="4"/>
      <c r="Z590" s="2"/>
      <c r="AA590" s="2"/>
      <c r="AD590" s="26"/>
      <c r="AE590" s="2"/>
      <c r="AF590" s="2"/>
      <c r="AG590" s="2"/>
      <c r="AH590" s="2"/>
      <c r="AT590" s="5"/>
      <c r="AW590" s="2"/>
      <c r="AX590" s="2"/>
      <c r="BA590" s="2"/>
      <c r="BB590" s="2"/>
      <c r="BC590" s="2"/>
      <c r="BP590" s="2"/>
      <c r="BQ590" s="2"/>
    </row>
    <row r="591" spans="14:75" s="1" customFormat="1" ht="20.25" customHeight="1" x14ac:dyDescent="0.25">
      <c r="N591" s="77"/>
      <c r="O591" s="3"/>
      <c r="Q591" s="4"/>
      <c r="R591" s="4"/>
      <c r="S591" s="4"/>
      <c r="T591" s="40"/>
      <c r="U591" s="17"/>
      <c r="V591" s="4"/>
      <c r="W591" s="4"/>
      <c r="X591" s="4"/>
      <c r="Z591" s="2"/>
      <c r="AA591" s="2"/>
      <c r="AD591" s="26"/>
      <c r="AE591" s="2"/>
      <c r="AF591" s="2"/>
      <c r="AG591" s="2"/>
      <c r="AH591" s="2"/>
      <c r="AT591" s="5"/>
      <c r="AW591" s="2"/>
      <c r="AX591" s="2"/>
      <c r="BA591" s="2"/>
      <c r="BB591" s="2"/>
      <c r="BC591" s="2"/>
      <c r="BP591" s="2"/>
      <c r="BQ591" s="2"/>
    </row>
    <row r="592" spans="14:75" s="1" customFormat="1" ht="20.25" customHeight="1" x14ac:dyDescent="0.25">
      <c r="N592" s="77"/>
      <c r="O592" s="3"/>
      <c r="Q592" s="4"/>
      <c r="R592" s="4"/>
      <c r="S592" s="4"/>
      <c r="T592" s="40"/>
      <c r="U592" s="17"/>
      <c r="V592" s="4"/>
      <c r="W592" s="4"/>
      <c r="X592" s="4"/>
      <c r="Z592" s="2"/>
      <c r="AA592" s="2"/>
      <c r="AD592" s="26"/>
      <c r="AE592" s="2"/>
      <c r="AF592" s="2"/>
      <c r="AG592" s="2"/>
      <c r="AH592" s="2"/>
      <c r="AT592" s="5"/>
      <c r="AW592" s="2"/>
      <c r="AX592" s="2"/>
      <c r="BA592" s="2"/>
      <c r="BB592" s="2"/>
      <c r="BC592" s="2"/>
    </row>
    <row r="593" spans="14:55" s="1" customFormat="1" ht="20.25" customHeight="1" x14ac:dyDescent="0.25">
      <c r="N593" s="77"/>
      <c r="O593" s="3"/>
      <c r="Q593" s="4"/>
      <c r="R593" s="4"/>
      <c r="S593" s="4"/>
      <c r="T593" s="40"/>
      <c r="U593" s="17"/>
      <c r="V593" s="4"/>
      <c r="W593" s="4"/>
      <c r="X593" s="4"/>
      <c r="Z593" s="2"/>
      <c r="AA593" s="2"/>
      <c r="AD593" s="26"/>
      <c r="AE593" s="2"/>
      <c r="AF593" s="2"/>
      <c r="AG593" s="2"/>
      <c r="AH593" s="2"/>
      <c r="AT593" s="5"/>
      <c r="AW593" s="2"/>
      <c r="AX593" s="2"/>
      <c r="AY593" s="2"/>
      <c r="AZ593" s="17"/>
      <c r="BA593" s="2"/>
      <c r="BB593" s="2"/>
      <c r="BC593" s="2"/>
    </row>
    <row r="594" spans="14:55" s="1" customFormat="1" ht="20.25" customHeight="1" x14ac:dyDescent="0.25">
      <c r="N594" s="77"/>
      <c r="O594" s="3"/>
      <c r="Q594" s="4"/>
      <c r="R594" s="4"/>
      <c r="S594" s="4"/>
      <c r="T594" s="40"/>
      <c r="U594" s="17"/>
      <c r="V594" s="4"/>
      <c r="W594" s="4"/>
      <c r="X594" s="4"/>
      <c r="Z594" s="2"/>
      <c r="AA594" s="2"/>
      <c r="AD594" s="26"/>
      <c r="AE594" s="2"/>
      <c r="AF594" s="2"/>
      <c r="AG594" s="2"/>
      <c r="AH594" s="2"/>
      <c r="AT594" s="5"/>
      <c r="AW594" s="2"/>
      <c r="AX594" s="2"/>
      <c r="AY594" s="2"/>
      <c r="AZ594" s="2"/>
      <c r="BA594" s="2"/>
      <c r="BB594" s="2"/>
      <c r="BC594" s="2"/>
    </row>
    <row r="595" spans="14:55" s="1" customFormat="1" ht="20.25" customHeight="1" x14ac:dyDescent="0.25">
      <c r="N595" s="77"/>
      <c r="O595" s="3"/>
      <c r="Q595" s="4"/>
      <c r="R595" s="4"/>
      <c r="S595" s="4"/>
      <c r="T595" s="40"/>
      <c r="U595" s="17"/>
      <c r="V595" s="4"/>
      <c r="W595" s="4"/>
      <c r="X595" s="4"/>
      <c r="Z595" s="2"/>
      <c r="AA595" s="2"/>
      <c r="AD595" s="26"/>
      <c r="AE595" s="2"/>
      <c r="AF595" s="2"/>
      <c r="AG595" s="2"/>
      <c r="AH595" s="2"/>
      <c r="AT595" s="5"/>
      <c r="AW595" s="2"/>
      <c r="AX595" s="2"/>
      <c r="AY595" s="2"/>
      <c r="AZ595" s="2"/>
      <c r="BA595" s="2"/>
      <c r="BB595" s="2"/>
      <c r="BC595" s="2"/>
    </row>
    <row r="596" spans="14:55" s="1" customFormat="1" ht="20.25" customHeight="1" x14ac:dyDescent="0.25">
      <c r="N596" s="77"/>
      <c r="O596" s="3"/>
      <c r="Q596" s="4"/>
      <c r="R596" s="4"/>
      <c r="S596" s="4"/>
      <c r="T596" s="40"/>
      <c r="U596" s="17"/>
      <c r="V596" s="4"/>
      <c r="W596" s="4"/>
      <c r="X596" s="4"/>
      <c r="Z596" s="2"/>
      <c r="AA596" s="2"/>
      <c r="AD596" s="26"/>
      <c r="AE596" s="2"/>
      <c r="AF596" s="2"/>
      <c r="AG596" s="2"/>
      <c r="AH596" s="2"/>
      <c r="AT596" s="5"/>
      <c r="AW596" s="2"/>
      <c r="AX596" s="2"/>
      <c r="AY596" s="2"/>
      <c r="AZ596" s="2"/>
      <c r="BA596" s="2"/>
      <c r="BB596" s="2"/>
      <c r="BC596" s="2"/>
    </row>
    <row r="597" spans="14:55" s="1" customFormat="1" ht="20.25" customHeight="1" x14ac:dyDescent="0.25">
      <c r="N597" s="77"/>
      <c r="O597" s="3"/>
      <c r="Q597" s="4"/>
      <c r="R597" s="4"/>
      <c r="S597" s="4"/>
      <c r="T597" s="40"/>
      <c r="U597" s="17"/>
      <c r="V597" s="4"/>
      <c r="W597" s="4"/>
      <c r="X597" s="4"/>
      <c r="Z597" s="2"/>
      <c r="AA597" s="2"/>
      <c r="AD597" s="26"/>
      <c r="AE597" s="2"/>
      <c r="AF597" s="2"/>
      <c r="AG597" s="2"/>
      <c r="AH597" s="2"/>
      <c r="AT597" s="5"/>
      <c r="AW597" s="2"/>
      <c r="AX597" s="2"/>
      <c r="AY597" s="2"/>
      <c r="AZ597" s="2"/>
      <c r="BA597" s="2"/>
      <c r="BB597" s="2"/>
      <c r="BC597" s="2"/>
    </row>
    <row r="598" spans="14:55" s="1" customFormat="1" ht="20.25" customHeight="1" x14ac:dyDescent="0.25">
      <c r="N598" s="77"/>
      <c r="O598" s="3"/>
      <c r="Q598" s="4"/>
      <c r="R598" s="4"/>
      <c r="S598" s="4"/>
      <c r="T598" s="40"/>
      <c r="U598" s="17"/>
      <c r="V598" s="4"/>
      <c r="W598" s="4"/>
      <c r="X598" s="4"/>
      <c r="Z598" s="2"/>
      <c r="AA598" s="2"/>
      <c r="AD598" s="26"/>
      <c r="AE598" s="2"/>
      <c r="AF598" s="2"/>
      <c r="AG598" s="2"/>
      <c r="AH598" s="2"/>
      <c r="AT598" s="5"/>
      <c r="AW598" s="2"/>
      <c r="AX598" s="2"/>
      <c r="AY598" s="2"/>
      <c r="AZ598" s="2"/>
      <c r="BA598" s="2"/>
      <c r="BB598" s="2"/>
      <c r="BC598" s="2"/>
    </row>
    <row r="599" spans="14:55" s="1" customFormat="1" ht="20.25" customHeight="1" x14ac:dyDescent="0.25">
      <c r="N599" s="77"/>
      <c r="O599" s="3"/>
      <c r="Q599" s="4"/>
      <c r="R599" s="4"/>
      <c r="S599" s="4"/>
      <c r="T599" s="40"/>
      <c r="U599" s="17"/>
      <c r="V599" s="4"/>
      <c r="W599" s="4"/>
      <c r="X599" s="4"/>
      <c r="Z599" s="2"/>
      <c r="AA599" s="2"/>
      <c r="AD599" s="26"/>
      <c r="AE599" s="2"/>
      <c r="AF599" s="2"/>
      <c r="AG599" s="2"/>
      <c r="AH599" s="2"/>
      <c r="AT599" s="5"/>
      <c r="AW599" s="2"/>
      <c r="AX599" s="2"/>
      <c r="AY599" s="2"/>
      <c r="AZ599" s="2"/>
      <c r="BA599" s="2"/>
      <c r="BB599" s="2"/>
      <c r="BC599" s="2"/>
    </row>
    <row r="600" spans="14:55" s="1" customFormat="1" ht="20.25" customHeight="1" x14ac:dyDescent="0.25">
      <c r="N600" s="77"/>
      <c r="O600" s="3"/>
      <c r="Q600" s="4"/>
      <c r="R600" s="4"/>
      <c r="S600" s="4"/>
      <c r="T600" s="40"/>
      <c r="U600" s="17"/>
      <c r="V600" s="4"/>
      <c r="W600" s="4"/>
      <c r="X600" s="4"/>
      <c r="Z600" s="2"/>
      <c r="AA600" s="2"/>
      <c r="AD600" s="26"/>
      <c r="AE600" s="2"/>
      <c r="AF600" s="2"/>
      <c r="AG600" s="2"/>
      <c r="AH600" s="2"/>
      <c r="AT600" s="5"/>
      <c r="AW600" s="2"/>
      <c r="AX600" s="2"/>
      <c r="AY600" s="2"/>
      <c r="AZ600" s="2"/>
      <c r="BA600" s="2"/>
      <c r="BB600" s="2"/>
      <c r="BC600" s="2"/>
    </row>
    <row r="601" spans="14:55" s="1" customFormat="1" ht="20.25" customHeight="1" x14ac:dyDescent="0.25">
      <c r="N601" s="77"/>
      <c r="O601" s="3"/>
      <c r="Q601" s="4"/>
      <c r="R601" s="4"/>
      <c r="S601" s="4"/>
      <c r="T601" s="40"/>
      <c r="U601" s="17"/>
      <c r="V601" s="4"/>
      <c r="W601" s="4"/>
      <c r="X601" s="4"/>
      <c r="Z601" s="2"/>
      <c r="AA601" s="2"/>
      <c r="AD601" s="26"/>
      <c r="AE601" s="2"/>
      <c r="AF601" s="2"/>
      <c r="AG601" s="2"/>
      <c r="AH601" s="2"/>
      <c r="AT601" s="5"/>
      <c r="AW601" s="2"/>
      <c r="AX601" s="2"/>
      <c r="AY601" s="2"/>
      <c r="AZ601" s="2"/>
      <c r="BA601" s="2"/>
      <c r="BB601" s="2"/>
      <c r="BC601" s="2"/>
    </row>
    <row r="602" spans="14:55" s="1" customFormat="1" ht="20.25" customHeight="1" x14ac:dyDescent="0.25">
      <c r="N602" s="77"/>
      <c r="O602" s="3"/>
      <c r="Q602" s="4"/>
      <c r="R602" s="4"/>
      <c r="S602" s="4"/>
      <c r="T602" s="40"/>
      <c r="U602" s="17"/>
      <c r="V602" s="4"/>
      <c r="W602" s="4"/>
      <c r="X602" s="4"/>
      <c r="Z602" s="2"/>
      <c r="AA602" s="2"/>
      <c r="AD602" s="26"/>
      <c r="AE602" s="2"/>
      <c r="AF602" s="2"/>
      <c r="AG602" s="2"/>
      <c r="AH602" s="2"/>
      <c r="AT602" s="5"/>
      <c r="AW602" s="2"/>
      <c r="AX602" s="2"/>
      <c r="AY602" s="2"/>
      <c r="AZ602" s="2"/>
      <c r="BA602" s="2"/>
      <c r="BB602" s="2"/>
      <c r="BC602" s="2"/>
    </row>
    <row r="603" spans="14:55" s="1" customFormat="1" ht="20.25" customHeight="1" x14ac:dyDescent="0.25">
      <c r="N603" s="77"/>
      <c r="O603" s="3"/>
      <c r="Q603" s="4"/>
      <c r="R603" s="4"/>
      <c r="S603" s="4"/>
      <c r="T603" s="40"/>
      <c r="U603" s="17"/>
      <c r="V603" s="4"/>
      <c r="W603" s="4"/>
      <c r="X603" s="4"/>
      <c r="Z603" s="2"/>
      <c r="AA603" s="2"/>
      <c r="AD603" s="26"/>
      <c r="AE603" s="2"/>
      <c r="AF603" s="2"/>
      <c r="AG603" s="2"/>
      <c r="AH603" s="2"/>
      <c r="AT603" s="5"/>
      <c r="AW603" s="2"/>
      <c r="AX603" s="2"/>
      <c r="AY603" s="2"/>
      <c r="AZ603" s="2"/>
      <c r="BA603" s="2"/>
      <c r="BB603" s="2"/>
      <c r="BC603" s="2"/>
    </row>
    <row r="604" spans="14:55" s="1" customFormat="1" ht="20.25" customHeight="1" x14ac:dyDescent="0.25">
      <c r="N604" s="77"/>
      <c r="O604" s="3"/>
      <c r="Q604" s="4"/>
      <c r="R604" s="4"/>
      <c r="S604" s="4"/>
      <c r="T604" s="40"/>
      <c r="U604" s="17"/>
      <c r="V604" s="4"/>
      <c r="W604" s="4"/>
      <c r="X604" s="4"/>
      <c r="Z604" s="2"/>
      <c r="AA604" s="2"/>
      <c r="AD604" s="26"/>
      <c r="AE604" s="2"/>
      <c r="AF604" s="2"/>
      <c r="AG604" s="2"/>
      <c r="AH604" s="2"/>
      <c r="AT604" s="5"/>
      <c r="AW604" s="2"/>
      <c r="AX604" s="2"/>
      <c r="AY604" s="2"/>
      <c r="AZ604" s="2"/>
      <c r="BA604" s="2"/>
      <c r="BB604" s="2"/>
      <c r="BC604" s="2"/>
    </row>
    <row r="605" spans="14:55" s="1" customFormat="1" ht="20.25" customHeight="1" x14ac:dyDescent="0.25">
      <c r="N605" s="77"/>
      <c r="O605" s="3"/>
      <c r="Q605" s="4"/>
      <c r="R605" s="4"/>
      <c r="S605" s="4"/>
      <c r="T605" s="40"/>
      <c r="U605" s="17"/>
      <c r="V605" s="4"/>
      <c r="W605" s="4"/>
      <c r="X605" s="4"/>
      <c r="Z605" s="2"/>
      <c r="AA605" s="2"/>
      <c r="AD605" s="26"/>
      <c r="AE605" s="2"/>
      <c r="AF605" s="2"/>
      <c r="AG605" s="2"/>
      <c r="AH605" s="2"/>
      <c r="AT605" s="5"/>
      <c r="AW605" s="2"/>
      <c r="AX605" s="2"/>
      <c r="AY605" s="2"/>
      <c r="AZ605" s="2"/>
      <c r="BA605" s="2"/>
      <c r="BB605" s="2"/>
      <c r="BC605" s="2"/>
    </row>
    <row r="606" spans="14:55" s="1" customFormat="1" ht="20.25" customHeight="1" x14ac:dyDescent="0.25">
      <c r="N606" s="77"/>
      <c r="O606" s="3"/>
      <c r="Q606" s="4"/>
      <c r="R606" s="4"/>
      <c r="S606" s="4"/>
      <c r="T606" s="40"/>
      <c r="U606" s="17"/>
      <c r="V606" s="4"/>
      <c r="W606" s="4"/>
      <c r="X606" s="4"/>
      <c r="Z606" s="2"/>
      <c r="AA606" s="2"/>
      <c r="AD606" s="26"/>
      <c r="AE606" s="2"/>
      <c r="AF606" s="2"/>
      <c r="AG606" s="2"/>
      <c r="AH606" s="2"/>
      <c r="AT606" s="5"/>
      <c r="AW606" s="2"/>
      <c r="AX606" s="2"/>
      <c r="AY606" s="2"/>
      <c r="AZ606" s="2"/>
      <c r="BA606" s="2"/>
      <c r="BB606" s="2"/>
      <c r="BC606" s="2"/>
    </row>
    <row r="607" spans="14:55" s="1" customFormat="1" ht="20.25" customHeight="1" x14ac:dyDescent="0.25">
      <c r="N607" s="77"/>
      <c r="O607" s="3"/>
      <c r="Q607" s="4"/>
      <c r="R607" s="4"/>
      <c r="S607" s="4"/>
      <c r="T607" s="40"/>
      <c r="U607" s="17"/>
      <c r="V607" s="4"/>
      <c r="W607" s="4"/>
      <c r="X607" s="4"/>
      <c r="Z607" s="2"/>
      <c r="AA607" s="2"/>
      <c r="AD607" s="26"/>
      <c r="AE607" s="2"/>
      <c r="AF607" s="2"/>
      <c r="AG607" s="2"/>
      <c r="AH607" s="2"/>
      <c r="AT607" s="5"/>
      <c r="AW607" s="2"/>
      <c r="AX607" s="2"/>
      <c r="AY607" s="2"/>
      <c r="AZ607" s="2"/>
      <c r="BA607" s="2"/>
      <c r="BB607" s="2"/>
      <c r="BC607" s="2"/>
    </row>
    <row r="608" spans="14:55" s="1" customFormat="1" ht="20.25" customHeight="1" x14ac:dyDescent="0.25">
      <c r="N608" s="77"/>
      <c r="O608" s="3"/>
      <c r="Q608" s="4"/>
      <c r="R608" s="4"/>
      <c r="S608" s="4"/>
      <c r="T608" s="40"/>
      <c r="U608" s="17"/>
      <c r="V608" s="4"/>
      <c r="W608" s="4"/>
      <c r="X608" s="4"/>
      <c r="Z608" s="2"/>
      <c r="AA608" s="2"/>
      <c r="AD608" s="26"/>
      <c r="AE608" s="2"/>
      <c r="AF608" s="2"/>
      <c r="AG608" s="2"/>
      <c r="AH608" s="2"/>
      <c r="AT608" s="5"/>
      <c r="AW608" s="2"/>
      <c r="AX608" s="2"/>
      <c r="AY608" s="2"/>
      <c r="AZ608" s="2"/>
      <c r="BA608" s="2"/>
      <c r="BB608" s="2"/>
      <c r="BC608" s="2"/>
    </row>
    <row r="609" spans="14:55" s="1" customFormat="1" ht="20.25" customHeight="1" x14ac:dyDescent="0.25">
      <c r="N609" s="77"/>
      <c r="O609" s="3"/>
      <c r="Q609" s="4"/>
      <c r="R609" s="4"/>
      <c r="S609" s="4"/>
      <c r="T609" s="40"/>
      <c r="U609" s="17"/>
      <c r="V609" s="4"/>
      <c r="W609" s="4"/>
      <c r="X609" s="4"/>
      <c r="Z609" s="2"/>
      <c r="AA609" s="2"/>
      <c r="AD609" s="26"/>
      <c r="AE609" s="2"/>
      <c r="AF609" s="2"/>
      <c r="AG609" s="2"/>
      <c r="AH609" s="2"/>
      <c r="AT609" s="5"/>
      <c r="AW609" s="2"/>
      <c r="AX609" s="2"/>
      <c r="AY609" s="2"/>
      <c r="AZ609" s="2"/>
      <c r="BA609" s="2"/>
      <c r="BB609" s="2"/>
      <c r="BC609" s="2"/>
    </row>
    <row r="610" spans="14:55" s="1" customFormat="1" ht="20.25" customHeight="1" x14ac:dyDescent="0.25">
      <c r="N610" s="77"/>
      <c r="O610" s="3"/>
      <c r="Q610" s="4"/>
      <c r="R610" s="4"/>
      <c r="S610" s="4"/>
      <c r="T610" s="40"/>
      <c r="U610" s="17"/>
      <c r="V610" s="4"/>
      <c r="W610" s="4"/>
      <c r="X610" s="4"/>
      <c r="Z610" s="2"/>
      <c r="AA610" s="2"/>
      <c r="AD610" s="26"/>
      <c r="AE610" s="2"/>
      <c r="AF610" s="2"/>
      <c r="AG610" s="2"/>
      <c r="AH610" s="2"/>
      <c r="AT610" s="5"/>
      <c r="AW610" s="2"/>
      <c r="AX610" s="2"/>
      <c r="AY610" s="2"/>
      <c r="AZ610" s="2"/>
      <c r="BA610" s="2"/>
      <c r="BB610" s="2"/>
      <c r="BC610" s="2"/>
    </row>
    <row r="611" spans="14:55" s="1" customFormat="1" ht="20.25" customHeight="1" x14ac:dyDescent="0.25">
      <c r="N611" s="77"/>
      <c r="O611" s="3"/>
      <c r="Q611" s="4"/>
      <c r="R611" s="4"/>
      <c r="S611" s="4"/>
      <c r="T611" s="40"/>
      <c r="U611" s="17"/>
      <c r="V611" s="4"/>
      <c r="W611" s="4"/>
      <c r="X611" s="4"/>
      <c r="Z611" s="2"/>
      <c r="AA611" s="2"/>
      <c r="AD611" s="26"/>
      <c r="AE611" s="2"/>
      <c r="AF611" s="2"/>
      <c r="AG611" s="2"/>
      <c r="AH611" s="2"/>
      <c r="AT611" s="5"/>
      <c r="AW611" s="2"/>
      <c r="AX611" s="2"/>
      <c r="AY611" s="2"/>
      <c r="AZ611" s="2"/>
      <c r="BA611" s="2"/>
      <c r="BB611" s="2"/>
      <c r="BC611" s="2"/>
    </row>
    <row r="612" spans="14:55" s="1" customFormat="1" ht="20.25" customHeight="1" x14ac:dyDescent="0.25">
      <c r="N612" s="77"/>
      <c r="O612" s="3"/>
      <c r="Q612" s="4"/>
      <c r="R612" s="4"/>
      <c r="S612" s="4"/>
      <c r="T612" s="40"/>
      <c r="U612" s="17"/>
      <c r="V612" s="4"/>
      <c r="W612" s="4"/>
      <c r="X612" s="4"/>
      <c r="Z612" s="2"/>
      <c r="AA612" s="2"/>
      <c r="AD612" s="26"/>
      <c r="AE612" s="2"/>
      <c r="AF612" s="2"/>
      <c r="AG612" s="2"/>
      <c r="AH612" s="2"/>
      <c r="AT612" s="5"/>
      <c r="AW612" s="2"/>
      <c r="AX612" s="2"/>
      <c r="AY612" s="2"/>
      <c r="AZ612" s="2"/>
      <c r="BA612" s="2"/>
      <c r="BB612" s="2"/>
      <c r="BC612" s="2"/>
    </row>
    <row r="613" spans="14:55" s="1" customFormat="1" ht="20.25" customHeight="1" x14ac:dyDescent="0.25">
      <c r="N613" s="77"/>
      <c r="O613" s="3"/>
      <c r="Q613" s="4"/>
      <c r="R613" s="4"/>
      <c r="S613" s="4"/>
      <c r="T613" s="40"/>
      <c r="U613" s="17"/>
      <c r="V613" s="4"/>
      <c r="W613" s="4"/>
      <c r="X613" s="4"/>
      <c r="Z613" s="2"/>
      <c r="AA613" s="2"/>
      <c r="AD613" s="26"/>
      <c r="AE613" s="2"/>
      <c r="AF613" s="2"/>
      <c r="AG613" s="2"/>
      <c r="AH613" s="2"/>
      <c r="AT613" s="5"/>
      <c r="AW613" s="2"/>
      <c r="AX613" s="2"/>
      <c r="AY613" s="2"/>
      <c r="AZ613" s="2"/>
      <c r="BA613" s="2"/>
      <c r="BB613" s="2"/>
      <c r="BC613" s="2"/>
    </row>
    <row r="614" spans="14:55" s="1" customFormat="1" ht="20.25" customHeight="1" x14ac:dyDescent="0.25">
      <c r="N614" s="77"/>
      <c r="O614" s="3"/>
      <c r="Q614" s="4"/>
      <c r="R614" s="4"/>
      <c r="S614" s="4"/>
      <c r="T614" s="40"/>
      <c r="U614" s="17"/>
      <c r="V614" s="4"/>
      <c r="W614" s="4"/>
      <c r="X614" s="4"/>
      <c r="Z614" s="2"/>
      <c r="AA614" s="2"/>
      <c r="AD614" s="26"/>
      <c r="AE614" s="2"/>
      <c r="AF614" s="2"/>
      <c r="AG614" s="2"/>
      <c r="AH614" s="2"/>
      <c r="AT614" s="5"/>
      <c r="AW614" s="2"/>
      <c r="AX614" s="2"/>
      <c r="AY614" s="2"/>
      <c r="AZ614" s="2"/>
      <c r="BA614" s="2"/>
      <c r="BB614" s="2"/>
      <c r="BC614" s="2"/>
    </row>
    <row r="615" spans="14:55" s="1" customFormat="1" ht="20.25" customHeight="1" x14ac:dyDescent="0.25">
      <c r="N615" s="77"/>
      <c r="O615" s="3"/>
      <c r="Q615" s="4"/>
      <c r="R615" s="4"/>
      <c r="S615" s="4"/>
      <c r="T615" s="40"/>
      <c r="U615" s="17"/>
      <c r="V615" s="4"/>
      <c r="W615" s="4"/>
      <c r="X615" s="4"/>
      <c r="Z615" s="2"/>
      <c r="AA615" s="2"/>
      <c r="AD615" s="26"/>
      <c r="AE615" s="2"/>
      <c r="AF615" s="2"/>
      <c r="AG615" s="2"/>
      <c r="AH615" s="2"/>
      <c r="AT615" s="5"/>
      <c r="AW615" s="2"/>
      <c r="AX615" s="2"/>
      <c r="AY615" s="2"/>
      <c r="AZ615" s="2"/>
      <c r="BA615" s="2"/>
      <c r="BB615" s="2"/>
      <c r="BC615" s="2"/>
    </row>
    <row r="616" spans="14:55" s="1" customFormat="1" ht="20.25" customHeight="1" x14ac:dyDescent="0.25">
      <c r="N616" s="77"/>
      <c r="O616" s="3"/>
      <c r="Q616" s="4"/>
      <c r="R616" s="4"/>
      <c r="S616" s="4"/>
      <c r="T616" s="40"/>
      <c r="U616" s="17"/>
      <c r="V616" s="4"/>
      <c r="W616" s="4"/>
      <c r="X616" s="4"/>
      <c r="Z616" s="2"/>
      <c r="AA616" s="2"/>
      <c r="AD616" s="26"/>
      <c r="AE616" s="2"/>
      <c r="AF616" s="2"/>
      <c r="AG616" s="2"/>
      <c r="AH616" s="2"/>
      <c r="AT616" s="5"/>
      <c r="AW616" s="2"/>
      <c r="AX616" s="2"/>
      <c r="AY616" s="2"/>
      <c r="AZ616" s="2"/>
      <c r="BA616" s="2"/>
      <c r="BB616" s="2"/>
      <c r="BC616" s="2"/>
    </row>
    <row r="617" spans="14:55" s="1" customFormat="1" ht="20.25" customHeight="1" x14ac:dyDescent="0.25">
      <c r="N617" s="77"/>
      <c r="O617" s="3"/>
      <c r="Q617" s="4"/>
      <c r="R617" s="4"/>
      <c r="S617" s="4"/>
      <c r="T617" s="40"/>
      <c r="U617" s="17"/>
      <c r="V617" s="4"/>
      <c r="W617" s="4"/>
      <c r="X617" s="4"/>
      <c r="Z617" s="2"/>
      <c r="AA617" s="2"/>
      <c r="AD617" s="26"/>
      <c r="AE617" s="2"/>
      <c r="AF617" s="2"/>
      <c r="AG617" s="2"/>
      <c r="AH617" s="2"/>
      <c r="AT617" s="5"/>
      <c r="AW617" s="2"/>
      <c r="AX617" s="2"/>
      <c r="AY617" s="2"/>
      <c r="AZ617" s="2"/>
      <c r="BA617" s="2"/>
      <c r="BB617" s="2"/>
      <c r="BC617" s="2"/>
    </row>
    <row r="618" spans="14:55" s="1" customFormat="1" ht="20.25" customHeight="1" x14ac:dyDescent="0.25">
      <c r="N618" s="77"/>
      <c r="O618" s="3"/>
      <c r="Q618" s="4"/>
      <c r="R618" s="4"/>
      <c r="S618" s="4"/>
      <c r="T618" s="40"/>
      <c r="U618" s="17"/>
      <c r="V618" s="4"/>
      <c r="W618" s="4"/>
      <c r="X618" s="4"/>
      <c r="Z618" s="2"/>
      <c r="AA618" s="2"/>
      <c r="AD618" s="26"/>
      <c r="AE618" s="2"/>
      <c r="AF618" s="2"/>
      <c r="AG618" s="2"/>
      <c r="AH618" s="2"/>
      <c r="AT618" s="5"/>
      <c r="AW618" s="2"/>
      <c r="AX618" s="2"/>
      <c r="AY618" s="2"/>
      <c r="AZ618" s="2"/>
      <c r="BA618" s="2"/>
      <c r="BB618" s="2"/>
      <c r="BC618" s="2"/>
    </row>
    <row r="619" spans="14:55" s="1" customFormat="1" ht="20.25" customHeight="1" x14ac:dyDescent="0.25">
      <c r="N619" s="77"/>
      <c r="O619" s="3"/>
      <c r="Q619" s="4"/>
      <c r="R619" s="4"/>
      <c r="S619" s="4"/>
      <c r="T619" s="40"/>
      <c r="U619" s="17"/>
      <c r="V619" s="4"/>
      <c r="W619" s="4"/>
      <c r="X619" s="4"/>
      <c r="Z619" s="2"/>
      <c r="AA619" s="2"/>
      <c r="AD619" s="26"/>
      <c r="AE619" s="2"/>
      <c r="AF619" s="2"/>
      <c r="AG619" s="2"/>
      <c r="AH619" s="2"/>
      <c r="AT619" s="5"/>
      <c r="AW619" s="2"/>
      <c r="AX619" s="2"/>
      <c r="AY619" s="2"/>
      <c r="AZ619" s="2"/>
      <c r="BA619" s="2"/>
      <c r="BB619" s="2"/>
      <c r="BC619" s="2"/>
    </row>
    <row r="620" spans="14:55" s="1" customFormat="1" ht="20.25" customHeight="1" x14ac:dyDescent="0.25">
      <c r="N620" s="77"/>
      <c r="O620" s="3"/>
      <c r="Q620" s="4"/>
      <c r="R620" s="4"/>
      <c r="S620" s="4"/>
      <c r="T620" s="40"/>
      <c r="U620" s="17"/>
      <c r="V620" s="4"/>
      <c r="W620" s="4"/>
      <c r="X620" s="4"/>
      <c r="Z620" s="2"/>
      <c r="AA620" s="2"/>
      <c r="AD620" s="26"/>
      <c r="AE620" s="2"/>
      <c r="AF620" s="2"/>
      <c r="AG620" s="2"/>
      <c r="AH620" s="2"/>
      <c r="AT620" s="5"/>
      <c r="AW620" s="2"/>
      <c r="AX620" s="2"/>
      <c r="AY620" s="2"/>
      <c r="AZ620" s="2"/>
      <c r="BA620" s="2"/>
      <c r="BB620" s="2"/>
      <c r="BC620" s="2"/>
    </row>
    <row r="621" spans="14:55" s="1" customFormat="1" ht="20.25" customHeight="1" x14ac:dyDescent="0.25">
      <c r="N621" s="77"/>
      <c r="O621" s="3"/>
      <c r="Q621" s="4"/>
      <c r="R621" s="4"/>
      <c r="S621" s="4"/>
      <c r="T621" s="40"/>
      <c r="U621" s="17"/>
      <c r="V621" s="4"/>
      <c r="W621" s="4"/>
      <c r="X621" s="4"/>
      <c r="Z621" s="2"/>
      <c r="AA621" s="2"/>
      <c r="AD621" s="26"/>
      <c r="AE621" s="2"/>
      <c r="AF621" s="2"/>
      <c r="AG621" s="2"/>
      <c r="AH621" s="2"/>
      <c r="AT621" s="5"/>
      <c r="AW621" s="2"/>
      <c r="AX621" s="2"/>
      <c r="AY621" s="2"/>
      <c r="AZ621" s="2"/>
      <c r="BA621" s="2"/>
      <c r="BB621" s="2"/>
      <c r="BC621" s="2"/>
    </row>
    <row r="622" spans="14:55" s="1" customFormat="1" ht="20.25" customHeight="1" x14ac:dyDescent="0.25">
      <c r="N622" s="77"/>
      <c r="O622" s="3"/>
      <c r="Q622" s="4"/>
      <c r="R622" s="4"/>
      <c r="S622" s="4"/>
      <c r="T622" s="40"/>
      <c r="U622" s="17"/>
      <c r="V622" s="4"/>
      <c r="W622" s="4"/>
      <c r="X622" s="4"/>
      <c r="Z622" s="2"/>
      <c r="AA622" s="2"/>
      <c r="AD622" s="26"/>
      <c r="AE622" s="2"/>
      <c r="AF622" s="2"/>
      <c r="AG622" s="2"/>
      <c r="AH622" s="2"/>
      <c r="AT622" s="5"/>
      <c r="AW622" s="2"/>
      <c r="AX622" s="2"/>
      <c r="AY622" s="2"/>
      <c r="AZ622" s="2"/>
      <c r="BA622" s="2"/>
      <c r="BB622" s="2"/>
      <c r="BC622" s="2"/>
    </row>
    <row r="623" spans="14:55" s="1" customFormat="1" ht="20.25" customHeight="1" x14ac:dyDescent="0.25">
      <c r="N623" s="77"/>
      <c r="O623" s="3"/>
      <c r="Q623" s="4"/>
      <c r="R623" s="4"/>
      <c r="S623" s="4"/>
      <c r="T623" s="40"/>
      <c r="U623" s="17"/>
      <c r="V623" s="4"/>
      <c r="W623" s="4"/>
      <c r="X623" s="4"/>
      <c r="Z623" s="2"/>
      <c r="AA623" s="2"/>
      <c r="AD623" s="26"/>
      <c r="AE623" s="2"/>
      <c r="AF623" s="2"/>
      <c r="AG623" s="2"/>
      <c r="AH623" s="2"/>
      <c r="AT623" s="5"/>
      <c r="AW623" s="2"/>
      <c r="AX623" s="2"/>
      <c r="AY623" s="2"/>
      <c r="AZ623" s="2"/>
      <c r="BA623" s="2"/>
      <c r="BB623" s="2"/>
      <c r="BC623" s="2"/>
    </row>
    <row r="624" spans="14:55" s="1" customFormat="1" ht="20.25" customHeight="1" x14ac:dyDescent="0.25">
      <c r="N624" s="77"/>
      <c r="O624" s="3"/>
      <c r="Q624" s="4"/>
      <c r="R624" s="4"/>
      <c r="S624" s="4"/>
      <c r="T624" s="40"/>
      <c r="U624" s="17"/>
      <c r="V624" s="4"/>
      <c r="W624" s="4"/>
      <c r="X624" s="4"/>
      <c r="Z624" s="2"/>
      <c r="AA624" s="2"/>
      <c r="AD624" s="26"/>
      <c r="AE624" s="2"/>
      <c r="AF624" s="2"/>
      <c r="AG624" s="2"/>
      <c r="AH624" s="2"/>
      <c r="AT624" s="5"/>
      <c r="AW624" s="2"/>
      <c r="AX624" s="2"/>
      <c r="AY624" s="2"/>
      <c r="AZ624" s="2"/>
      <c r="BA624" s="2"/>
      <c r="BB624" s="2"/>
      <c r="BC624" s="2"/>
    </row>
    <row r="625" spans="14:55" s="1" customFormat="1" ht="20.25" customHeight="1" x14ac:dyDescent="0.25">
      <c r="N625" s="77"/>
      <c r="O625" s="3"/>
      <c r="Q625" s="4"/>
      <c r="R625" s="4"/>
      <c r="S625" s="4"/>
      <c r="T625" s="40"/>
      <c r="U625" s="17"/>
      <c r="V625" s="4"/>
      <c r="W625" s="4"/>
      <c r="X625" s="4"/>
      <c r="Z625" s="2"/>
      <c r="AA625" s="2"/>
      <c r="AD625" s="26"/>
      <c r="AE625" s="2"/>
      <c r="AF625" s="2"/>
      <c r="AG625" s="2"/>
      <c r="AH625" s="2"/>
      <c r="AT625" s="5"/>
      <c r="AW625" s="2"/>
      <c r="AX625" s="2"/>
      <c r="AY625" s="2"/>
      <c r="AZ625" s="2"/>
      <c r="BA625" s="2"/>
      <c r="BB625" s="2"/>
      <c r="BC625" s="2"/>
    </row>
    <row r="626" spans="14:55" s="1" customFormat="1" ht="20.25" customHeight="1" x14ac:dyDescent="0.25">
      <c r="N626" s="77"/>
      <c r="O626" s="3"/>
      <c r="Q626" s="4"/>
      <c r="R626" s="4"/>
      <c r="S626" s="4"/>
      <c r="T626" s="40"/>
      <c r="U626" s="17"/>
      <c r="V626" s="4"/>
      <c r="W626" s="4"/>
      <c r="X626" s="4"/>
      <c r="Z626" s="2"/>
      <c r="AA626" s="2"/>
      <c r="AD626" s="26"/>
      <c r="AE626" s="2"/>
      <c r="AF626" s="2"/>
      <c r="AG626" s="2"/>
      <c r="AH626" s="2"/>
      <c r="AT626" s="5"/>
      <c r="AW626" s="2"/>
      <c r="AX626" s="2"/>
      <c r="AY626" s="2"/>
      <c r="AZ626" s="2"/>
      <c r="BA626" s="2"/>
      <c r="BB626" s="2"/>
      <c r="BC626" s="2"/>
    </row>
    <row r="627" spans="14:55" s="1" customFormat="1" ht="20.25" customHeight="1" x14ac:dyDescent="0.25">
      <c r="N627" s="77"/>
      <c r="O627" s="3"/>
      <c r="Q627" s="4"/>
      <c r="R627" s="4"/>
      <c r="S627" s="4"/>
      <c r="T627" s="40"/>
      <c r="U627" s="17"/>
      <c r="V627" s="4"/>
      <c r="W627" s="4"/>
      <c r="X627" s="4"/>
      <c r="Z627" s="2"/>
      <c r="AA627" s="2"/>
      <c r="AD627" s="26"/>
      <c r="AE627" s="2"/>
      <c r="AF627" s="2"/>
      <c r="AG627" s="2"/>
      <c r="AH627" s="2"/>
      <c r="AT627" s="5"/>
      <c r="AW627" s="2"/>
      <c r="AX627" s="2"/>
      <c r="AY627" s="2"/>
      <c r="AZ627" s="2"/>
      <c r="BA627" s="2"/>
      <c r="BB627" s="2"/>
      <c r="BC627" s="2"/>
    </row>
    <row r="628" spans="14:55" s="1" customFormat="1" ht="20.25" customHeight="1" x14ac:dyDescent="0.25">
      <c r="N628" s="77"/>
      <c r="O628" s="3"/>
      <c r="Q628" s="4"/>
      <c r="R628" s="4"/>
      <c r="S628" s="4"/>
      <c r="T628" s="40"/>
      <c r="U628" s="17"/>
      <c r="V628" s="4"/>
      <c r="W628" s="4"/>
      <c r="X628" s="4"/>
      <c r="Z628" s="2"/>
      <c r="AA628" s="2"/>
      <c r="AD628" s="26"/>
      <c r="AE628" s="2"/>
      <c r="AF628" s="2"/>
      <c r="AG628" s="2"/>
      <c r="AH628" s="2"/>
      <c r="AT628" s="5"/>
      <c r="AW628" s="2"/>
      <c r="AX628" s="2"/>
      <c r="AY628" s="2"/>
      <c r="AZ628" s="2"/>
      <c r="BA628" s="2"/>
      <c r="BB628" s="2"/>
      <c r="BC628" s="2"/>
    </row>
    <row r="629" spans="14:55" s="1" customFormat="1" ht="20.25" customHeight="1" x14ac:dyDescent="0.25">
      <c r="N629" s="77"/>
      <c r="O629" s="3"/>
      <c r="Q629" s="4"/>
      <c r="R629" s="4"/>
      <c r="S629" s="4"/>
      <c r="T629" s="40"/>
      <c r="U629" s="17"/>
      <c r="V629" s="4"/>
      <c r="W629" s="4"/>
      <c r="X629" s="4"/>
      <c r="Z629" s="2"/>
      <c r="AA629" s="2"/>
      <c r="AD629" s="26"/>
      <c r="AE629" s="2"/>
      <c r="AF629" s="2"/>
      <c r="AG629" s="2"/>
      <c r="AH629" s="2"/>
      <c r="AT629" s="5"/>
      <c r="AW629" s="2"/>
      <c r="AX629" s="2"/>
      <c r="AY629" s="2"/>
      <c r="AZ629" s="2"/>
      <c r="BA629" s="2"/>
      <c r="BB629" s="2"/>
      <c r="BC629" s="2"/>
    </row>
    <row r="630" spans="14:55" s="1" customFormat="1" ht="20.25" customHeight="1" x14ac:dyDescent="0.25">
      <c r="N630" s="77"/>
      <c r="O630" s="3"/>
      <c r="Q630" s="4"/>
      <c r="R630" s="4"/>
      <c r="S630" s="4"/>
      <c r="T630" s="40"/>
      <c r="U630" s="17"/>
      <c r="V630" s="4"/>
      <c r="W630" s="4"/>
      <c r="X630" s="4"/>
      <c r="Z630" s="2"/>
      <c r="AA630" s="2"/>
      <c r="AD630" s="26"/>
      <c r="AE630" s="2"/>
      <c r="AF630" s="2"/>
      <c r="AG630" s="2"/>
      <c r="AH630" s="2"/>
      <c r="AT630" s="5"/>
      <c r="AW630" s="2"/>
      <c r="AX630" s="2"/>
      <c r="AY630" s="2"/>
      <c r="AZ630" s="2"/>
      <c r="BA630" s="2"/>
      <c r="BB630" s="2"/>
      <c r="BC630" s="2"/>
    </row>
    <row r="631" spans="14:55" s="1" customFormat="1" ht="20.25" customHeight="1" x14ac:dyDescent="0.25">
      <c r="N631" s="77"/>
      <c r="O631" s="3"/>
      <c r="Q631" s="4"/>
      <c r="R631" s="4"/>
      <c r="S631" s="4"/>
      <c r="T631" s="40"/>
      <c r="U631" s="17"/>
      <c r="V631" s="4"/>
      <c r="W631" s="4"/>
      <c r="X631" s="4"/>
      <c r="Z631" s="2"/>
      <c r="AA631" s="2"/>
      <c r="AD631" s="26"/>
      <c r="AE631" s="2"/>
      <c r="AF631" s="2"/>
      <c r="AG631" s="2"/>
      <c r="AH631" s="2"/>
      <c r="AT631" s="5"/>
      <c r="AW631" s="2"/>
      <c r="AX631" s="2"/>
      <c r="AY631" s="2"/>
      <c r="AZ631" s="2"/>
      <c r="BA631" s="2"/>
      <c r="BB631" s="2"/>
      <c r="BC631" s="2"/>
    </row>
    <row r="632" spans="14:55" s="1" customFormat="1" ht="20.25" customHeight="1" x14ac:dyDescent="0.25">
      <c r="N632" s="77"/>
      <c r="O632" s="3"/>
      <c r="Q632" s="4"/>
      <c r="R632" s="4"/>
      <c r="S632" s="4"/>
      <c r="T632" s="40"/>
      <c r="U632" s="17"/>
      <c r="V632" s="4"/>
      <c r="W632" s="4"/>
      <c r="X632" s="4"/>
      <c r="Z632" s="2"/>
      <c r="AA632" s="2"/>
      <c r="AD632" s="26"/>
      <c r="AE632" s="2"/>
      <c r="AF632" s="2"/>
      <c r="AG632" s="2"/>
      <c r="AH632" s="2"/>
      <c r="AT632" s="5"/>
      <c r="AW632" s="2"/>
      <c r="AX632" s="2"/>
      <c r="AY632" s="2"/>
      <c r="AZ632" s="2"/>
      <c r="BA632" s="2"/>
      <c r="BB632" s="2"/>
      <c r="BC632" s="2"/>
    </row>
    <row r="633" spans="14:55" s="1" customFormat="1" ht="20.25" customHeight="1" x14ac:dyDescent="0.25">
      <c r="N633" s="77"/>
      <c r="O633" s="3"/>
      <c r="Q633" s="4"/>
      <c r="R633" s="4"/>
      <c r="S633" s="4"/>
      <c r="T633" s="40"/>
      <c r="U633" s="17"/>
      <c r="V633" s="4"/>
      <c r="W633" s="4"/>
      <c r="X633" s="4"/>
      <c r="Z633" s="2"/>
      <c r="AA633" s="2"/>
      <c r="AD633" s="26"/>
      <c r="AE633" s="2"/>
      <c r="AF633" s="2"/>
      <c r="AG633" s="2"/>
      <c r="AH633" s="2"/>
      <c r="AT633" s="5"/>
      <c r="AW633" s="2"/>
      <c r="AX633" s="2"/>
      <c r="AY633" s="2"/>
      <c r="AZ633" s="2"/>
      <c r="BA633" s="2"/>
      <c r="BB633" s="2"/>
      <c r="BC633" s="2"/>
    </row>
    <row r="634" spans="14:55" s="1" customFormat="1" ht="20.25" customHeight="1" x14ac:dyDescent="0.25">
      <c r="N634" s="77"/>
      <c r="O634" s="3"/>
      <c r="Q634" s="4"/>
      <c r="R634" s="4"/>
      <c r="S634" s="4"/>
      <c r="T634" s="40"/>
      <c r="U634" s="17"/>
      <c r="V634" s="4"/>
      <c r="W634" s="4"/>
      <c r="X634" s="4"/>
      <c r="Z634" s="2"/>
      <c r="AA634" s="2"/>
      <c r="AD634" s="26"/>
      <c r="AE634" s="2"/>
      <c r="AF634" s="2"/>
      <c r="AG634" s="2"/>
      <c r="AH634" s="2"/>
      <c r="AT634" s="5"/>
      <c r="AW634" s="2"/>
      <c r="AX634" s="2"/>
      <c r="AY634" s="2"/>
      <c r="AZ634" s="2"/>
      <c r="BA634" s="2"/>
      <c r="BB634" s="2"/>
      <c r="BC634" s="2"/>
    </row>
    <row r="635" spans="14:55" s="1" customFormat="1" ht="20.25" customHeight="1" x14ac:dyDescent="0.25">
      <c r="N635" s="77"/>
      <c r="O635" s="3"/>
      <c r="Q635" s="4"/>
      <c r="R635" s="4"/>
      <c r="S635" s="4"/>
      <c r="T635" s="40"/>
      <c r="U635" s="17"/>
      <c r="V635" s="4"/>
      <c r="W635" s="4"/>
      <c r="X635" s="4"/>
      <c r="Z635" s="2"/>
      <c r="AA635" s="2"/>
      <c r="AD635" s="26"/>
      <c r="AE635" s="2"/>
      <c r="AF635" s="2"/>
      <c r="AG635" s="2"/>
      <c r="AH635" s="2"/>
      <c r="AT635" s="5"/>
      <c r="AW635" s="2"/>
      <c r="AX635" s="2"/>
      <c r="AY635" s="2"/>
      <c r="AZ635" s="2"/>
      <c r="BA635" s="2"/>
      <c r="BB635" s="2"/>
      <c r="BC635" s="2"/>
    </row>
    <row r="636" spans="14:55" s="1" customFormat="1" ht="20.25" customHeight="1" x14ac:dyDescent="0.25">
      <c r="N636" s="77"/>
      <c r="O636" s="3"/>
      <c r="Q636" s="4"/>
      <c r="R636" s="4"/>
      <c r="S636" s="4"/>
      <c r="T636" s="40"/>
      <c r="U636" s="17"/>
      <c r="V636" s="4"/>
      <c r="W636" s="4"/>
      <c r="X636" s="4"/>
      <c r="Z636" s="2"/>
      <c r="AA636" s="2"/>
      <c r="AD636" s="26"/>
      <c r="AE636" s="2"/>
      <c r="AF636" s="2"/>
      <c r="AG636" s="2"/>
      <c r="AH636" s="2"/>
      <c r="AT636" s="5"/>
      <c r="AW636" s="2"/>
      <c r="AX636" s="2"/>
      <c r="AY636" s="2"/>
      <c r="AZ636" s="2"/>
      <c r="BA636" s="2"/>
      <c r="BB636" s="2"/>
      <c r="BC636" s="2"/>
    </row>
    <row r="637" spans="14:55" s="1" customFormat="1" ht="20.25" customHeight="1" x14ac:dyDescent="0.25">
      <c r="N637" s="77"/>
      <c r="O637" s="3"/>
      <c r="Q637" s="4"/>
      <c r="R637" s="4"/>
      <c r="S637" s="4"/>
      <c r="T637" s="40"/>
      <c r="U637" s="17"/>
      <c r="V637" s="4"/>
      <c r="W637" s="4"/>
      <c r="X637" s="4"/>
      <c r="Z637" s="2"/>
      <c r="AA637" s="2"/>
      <c r="AD637" s="26"/>
      <c r="AE637" s="2"/>
      <c r="AF637" s="2"/>
      <c r="AG637" s="2"/>
      <c r="AH637" s="2"/>
      <c r="AT637" s="5"/>
      <c r="AW637" s="2"/>
      <c r="AX637" s="2"/>
      <c r="AY637" s="2"/>
      <c r="AZ637" s="2"/>
      <c r="BA637" s="2"/>
      <c r="BB637" s="2"/>
      <c r="BC637" s="2"/>
    </row>
    <row r="638" spans="14:55" s="1" customFormat="1" ht="20.25" customHeight="1" x14ac:dyDescent="0.25">
      <c r="N638" s="77"/>
      <c r="O638" s="3"/>
      <c r="Q638" s="4"/>
      <c r="R638" s="4"/>
      <c r="S638" s="4"/>
      <c r="T638" s="40"/>
      <c r="U638" s="17"/>
      <c r="V638" s="4"/>
      <c r="W638" s="4"/>
      <c r="X638" s="4"/>
      <c r="Z638" s="2"/>
      <c r="AA638" s="2"/>
      <c r="AD638" s="26"/>
      <c r="AE638" s="2"/>
      <c r="AF638" s="2"/>
      <c r="AG638" s="2"/>
      <c r="AH638" s="2"/>
      <c r="AT638" s="5"/>
      <c r="AW638" s="2"/>
      <c r="AX638" s="2"/>
      <c r="AY638" s="2"/>
      <c r="AZ638" s="2"/>
      <c r="BA638" s="2"/>
      <c r="BB638" s="2"/>
      <c r="BC638" s="2"/>
    </row>
    <row r="639" spans="14:55" s="1" customFormat="1" ht="20.25" customHeight="1" x14ac:dyDescent="0.25">
      <c r="N639" s="77"/>
      <c r="O639" s="3"/>
      <c r="Q639" s="4"/>
      <c r="R639" s="4"/>
      <c r="S639" s="4"/>
      <c r="T639" s="40"/>
      <c r="U639" s="17"/>
      <c r="V639" s="4"/>
      <c r="W639" s="4"/>
      <c r="X639" s="4"/>
      <c r="Z639" s="2"/>
      <c r="AA639" s="2"/>
      <c r="AD639" s="26"/>
      <c r="AE639" s="2"/>
      <c r="AF639" s="2"/>
      <c r="AG639" s="2"/>
      <c r="AH639" s="2"/>
      <c r="AT639" s="5"/>
      <c r="AW639" s="2"/>
      <c r="AX639" s="2"/>
      <c r="AY639" s="2"/>
      <c r="AZ639" s="2"/>
      <c r="BA639" s="2"/>
      <c r="BB639" s="2"/>
      <c r="BC639" s="2"/>
    </row>
    <row r="640" spans="14:55" s="1" customFormat="1" ht="20.25" customHeight="1" x14ac:dyDescent="0.25">
      <c r="N640" s="77"/>
      <c r="O640" s="3"/>
      <c r="Q640" s="4"/>
      <c r="R640" s="4"/>
      <c r="S640" s="4"/>
      <c r="T640" s="40"/>
      <c r="U640" s="17"/>
      <c r="V640" s="4"/>
      <c r="W640" s="4"/>
      <c r="X640" s="4"/>
      <c r="Z640" s="2"/>
      <c r="AA640" s="2"/>
      <c r="AD640" s="26"/>
      <c r="AE640" s="2"/>
      <c r="AF640" s="2"/>
      <c r="AG640" s="2"/>
      <c r="AH640" s="2"/>
      <c r="AT640" s="5"/>
      <c r="AW640" s="2"/>
      <c r="AX640" s="2"/>
      <c r="AY640" s="2"/>
      <c r="AZ640" s="2"/>
      <c r="BA640" s="2"/>
      <c r="BB640" s="2"/>
      <c r="BC640" s="2"/>
    </row>
    <row r="641" spans="5:55" s="1" customFormat="1" ht="20.25" customHeight="1" x14ac:dyDescent="0.25">
      <c r="N641" s="77"/>
      <c r="O641" s="3"/>
      <c r="Q641" s="4"/>
      <c r="R641" s="4"/>
      <c r="S641" s="4"/>
      <c r="T641" s="40"/>
      <c r="U641" s="17"/>
      <c r="V641" s="4"/>
      <c r="W641" s="4"/>
      <c r="X641" s="4"/>
      <c r="Z641" s="2"/>
      <c r="AA641" s="2"/>
      <c r="AD641" s="26"/>
      <c r="AE641" s="2"/>
      <c r="AF641" s="2"/>
      <c r="AG641" s="2"/>
      <c r="AH641" s="2"/>
      <c r="AT641" s="5"/>
      <c r="AW641" s="2"/>
      <c r="AX641" s="2"/>
      <c r="AY641" s="2"/>
      <c r="AZ641" s="2"/>
      <c r="BA641" s="2"/>
      <c r="BB641" s="2"/>
      <c r="BC641" s="2"/>
    </row>
    <row r="642" spans="5:55" s="1" customFormat="1" ht="20.25" customHeight="1" x14ac:dyDescent="0.25">
      <c r="N642" s="77"/>
      <c r="O642" s="3"/>
      <c r="Q642" s="4"/>
      <c r="R642" s="4"/>
      <c r="S642" s="4"/>
      <c r="T642" s="40"/>
      <c r="U642" s="17"/>
      <c r="V642" s="4"/>
      <c r="W642" s="4"/>
      <c r="X642" s="4"/>
      <c r="Z642" s="2"/>
      <c r="AA642" s="2"/>
      <c r="AD642" s="26"/>
      <c r="AE642" s="2"/>
      <c r="AF642" s="2"/>
      <c r="AG642" s="2"/>
      <c r="AH642" s="2"/>
      <c r="AT642" s="5"/>
      <c r="AW642" s="2"/>
      <c r="AX642" s="2"/>
      <c r="AY642" s="2"/>
      <c r="AZ642" s="2"/>
      <c r="BA642" s="2"/>
      <c r="BB642" s="2"/>
      <c r="BC642" s="2"/>
    </row>
    <row r="643" spans="5:55" s="1" customFormat="1" ht="20.25" customHeight="1" x14ac:dyDescent="0.25">
      <c r="N643" s="77"/>
      <c r="O643" s="3"/>
      <c r="Q643" s="4"/>
      <c r="R643" s="4"/>
      <c r="S643" s="4"/>
      <c r="T643" s="40"/>
      <c r="U643" s="17"/>
      <c r="V643" s="4"/>
      <c r="W643" s="4"/>
      <c r="X643" s="4"/>
      <c r="Z643" s="2"/>
      <c r="AA643" s="2"/>
      <c r="AD643" s="26"/>
      <c r="AE643" s="2"/>
      <c r="AF643" s="2"/>
      <c r="AG643" s="2"/>
      <c r="AH643" s="2"/>
      <c r="AT643" s="5"/>
      <c r="AW643" s="2"/>
      <c r="AX643" s="2"/>
      <c r="AY643" s="2"/>
      <c r="AZ643" s="2"/>
      <c r="BA643" s="2"/>
      <c r="BB643" s="2"/>
      <c r="BC643" s="2"/>
    </row>
    <row r="644" spans="5:55" s="1" customFormat="1" ht="20.25" customHeight="1" x14ac:dyDescent="0.25">
      <c r="N644" s="77"/>
      <c r="O644" s="3"/>
      <c r="Q644" s="4"/>
      <c r="R644" s="4"/>
      <c r="S644" s="4"/>
      <c r="T644" s="40"/>
      <c r="U644" s="17"/>
      <c r="V644" s="4"/>
      <c r="W644" s="4"/>
      <c r="X644" s="4"/>
      <c r="Z644" s="2"/>
      <c r="AA644" s="2"/>
      <c r="AD644" s="26"/>
      <c r="AE644" s="2"/>
      <c r="AF644" s="2"/>
      <c r="AG644" s="2"/>
      <c r="AH644" s="2"/>
      <c r="AT644" s="5"/>
      <c r="AW644" s="2"/>
      <c r="AX644" s="2"/>
      <c r="AY644" s="2"/>
      <c r="AZ644" s="2"/>
      <c r="BA644" s="2"/>
      <c r="BB644" s="2"/>
      <c r="BC644" s="2"/>
    </row>
    <row r="645" spans="5:55" s="1" customFormat="1" ht="20.25" customHeight="1" x14ac:dyDescent="0.25">
      <c r="N645" s="77"/>
      <c r="O645" s="3"/>
      <c r="Q645" s="4"/>
      <c r="R645" s="4"/>
      <c r="S645" s="4"/>
      <c r="T645" s="40"/>
      <c r="U645" s="17"/>
      <c r="V645" s="4"/>
      <c r="W645" s="4"/>
      <c r="X645" s="4"/>
      <c r="Z645" s="2"/>
      <c r="AA645" s="2"/>
      <c r="AD645" s="26"/>
      <c r="AE645" s="2"/>
      <c r="AF645" s="2"/>
      <c r="AG645" s="2"/>
      <c r="AH645" s="2"/>
      <c r="AT645" s="5"/>
      <c r="AW645" s="2"/>
      <c r="AX645" s="2"/>
      <c r="AY645" s="2"/>
      <c r="AZ645" s="2"/>
      <c r="BA645" s="2"/>
      <c r="BB645" s="2"/>
      <c r="BC645" s="2"/>
    </row>
    <row r="646" spans="5:55" s="1" customFormat="1" ht="20.25" customHeight="1" x14ac:dyDescent="0.25">
      <c r="N646" s="77"/>
      <c r="O646" s="3"/>
      <c r="Q646" s="4"/>
      <c r="R646" s="4"/>
      <c r="S646" s="4"/>
      <c r="T646" s="40"/>
      <c r="U646" s="17"/>
      <c r="V646" s="4"/>
      <c r="W646" s="4"/>
      <c r="X646" s="4"/>
      <c r="Z646" s="2"/>
      <c r="AA646" s="2"/>
      <c r="AD646" s="26"/>
      <c r="AE646" s="2"/>
      <c r="AF646" s="2"/>
      <c r="AG646" s="2"/>
      <c r="AH646" s="2"/>
      <c r="AT646" s="5"/>
      <c r="AW646" s="2"/>
      <c r="AX646" s="2"/>
      <c r="AY646" s="2"/>
      <c r="AZ646" s="2"/>
      <c r="BA646" s="2"/>
      <c r="BB646" s="2"/>
      <c r="BC646" s="2"/>
    </row>
    <row r="647" spans="5:55" s="1" customFormat="1" ht="20.25" customHeight="1" x14ac:dyDescent="0.25">
      <c r="N647" s="77"/>
      <c r="O647" s="3"/>
      <c r="Q647" s="4"/>
      <c r="R647" s="4"/>
      <c r="S647" s="4"/>
      <c r="T647" s="40"/>
      <c r="U647" s="17"/>
      <c r="V647" s="4"/>
      <c r="W647" s="4"/>
      <c r="X647" s="4"/>
      <c r="Z647" s="2"/>
      <c r="AA647" s="2"/>
      <c r="AD647" s="26"/>
      <c r="AE647" s="2"/>
      <c r="AF647" s="2"/>
      <c r="AG647" s="2"/>
      <c r="AH647" s="2"/>
      <c r="AT647" s="5"/>
      <c r="AW647" s="2"/>
      <c r="AX647" s="2"/>
      <c r="AY647" s="2"/>
      <c r="AZ647" s="2"/>
      <c r="BA647" s="2"/>
      <c r="BB647" s="2"/>
      <c r="BC647" s="2"/>
    </row>
    <row r="648" spans="5:55" s="1" customFormat="1" ht="20.25" customHeight="1" x14ac:dyDescent="0.25">
      <c r="N648" s="77"/>
      <c r="O648" s="3"/>
      <c r="Q648" s="4"/>
      <c r="R648" s="4"/>
      <c r="S648" s="4"/>
      <c r="T648" s="40"/>
      <c r="U648" s="17"/>
      <c r="V648" s="4"/>
      <c r="W648" s="4"/>
      <c r="X648" s="4"/>
      <c r="Z648" s="2"/>
      <c r="AA648" s="2"/>
      <c r="AD648" s="26"/>
      <c r="AE648" s="2"/>
      <c r="AF648" s="2"/>
      <c r="AG648" s="2"/>
      <c r="AH648" s="2"/>
      <c r="AT648" s="5"/>
      <c r="AW648" s="2"/>
      <c r="AX648" s="2"/>
      <c r="AY648" s="2"/>
      <c r="AZ648" s="2"/>
      <c r="BA648" s="2"/>
      <c r="BB648" s="2"/>
      <c r="BC648" s="2"/>
    </row>
    <row r="649" spans="5:55" s="1" customFormat="1" ht="20.25" customHeight="1" x14ac:dyDescent="0.25">
      <c r="N649" s="77"/>
      <c r="O649" s="3"/>
      <c r="Q649" s="4"/>
      <c r="R649" s="4"/>
      <c r="S649" s="4"/>
      <c r="T649" s="40"/>
      <c r="U649" s="17"/>
      <c r="V649" s="4"/>
      <c r="W649" s="4"/>
      <c r="X649" s="4"/>
      <c r="Z649" s="2"/>
      <c r="AA649" s="2"/>
      <c r="AD649" s="26"/>
      <c r="AE649" s="2"/>
      <c r="AF649" s="2"/>
      <c r="AG649" s="2"/>
      <c r="AH649" s="2"/>
      <c r="AT649" s="5"/>
      <c r="AW649" s="2"/>
      <c r="AX649" s="2"/>
      <c r="AY649" s="2"/>
      <c r="AZ649" s="2"/>
      <c r="BA649" s="2"/>
      <c r="BB649" s="2"/>
      <c r="BC649" s="2"/>
    </row>
    <row r="650" spans="5:55" ht="20.25" customHeight="1" x14ac:dyDescent="0.25">
      <c r="E650" s="1"/>
      <c r="F650" s="1"/>
      <c r="G650" s="1"/>
      <c r="U650" s="17"/>
      <c r="AD650" s="26"/>
    </row>
    <row r="651" spans="5:55" ht="20.25" customHeight="1" x14ac:dyDescent="0.25">
      <c r="E651" s="1"/>
      <c r="F651" s="1"/>
      <c r="G651" s="1"/>
      <c r="U651" s="17"/>
      <c r="AD651" s="26"/>
    </row>
    <row r="652" spans="5:55" ht="20.25" customHeight="1" x14ac:dyDescent="0.25">
      <c r="E652" s="1"/>
      <c r="F652" s="1"/>
      <c r="G652" s="1"/>
      <c r="U652" s="17"/>
      <c r="AD652" s="26"/>
    </row>
    <row r="653" spans="5:55" ht="20.25" customHeight="1" x14ac:dyDescent="0.25">
      <c r="E653" s="1"/>
      <c r="F653" s="1"/>
      <c r="G653" s="1"/>
      <c r="U653" s="17"/>
      <c r="AD653" s="26"/>
    </row>
    <row r="654" spans="5:55" ht="20.25" customHeight="1" x14ac:dyDescent="0.25">
      <c r="E654" s="1"/>
      <c r="F654" s="1"/>
      <c r="G654" s="1"/>
      <c r="U654" s="17"/>
      <c r="AD654" s="26"/>
    </row>
    <row r="655" spans="5:55" ht="20.25" customHeight="1" x14ac:dyDescent="0.25">
      <c r="E655" s="1"/>
      <c r="F655" s="1"/>
      <c r="G655" s="1"/>
      <c r="U655" s="17"/>
      <c r="AD655" s="26"/>
    </row>
    <row r="656" spans="5:55" ht="20.25" customHeight="1" x14ac:dyDescent="0.25">
      <c r="E656" s="1"/>
      <c r="F656" s="1"/>
      <c r="G656" s="1"/>
      <c r="U656" s="17"/>
      <c r="AD656" s="26"/>
    </row>
    <row r="657" spans="5:30" ht="20.25" customHeight="1" x14ac:dyDescent="0.25">
      <c r="E657" s="1"/>
      <c r="F657" s="1"/>
      <c r="G657" s="1"/>
      <c r="U657" s="17"/>
      <c r="AD657" s="26"/>
    </row>
    <row r="658" spans="5:30" ht="20.25" customHeight="1" x14ac:dyDescent="0.25">
      <c r="E658" s="1"/>
      <c r="F658" s="1"/>
      <c r="G658" s="1"/>
      <c r="U658" s="17"/>
      <c r="AD658" s="26"/>
    </row>
    <row r="659" spans="5:30" ht="20.25" customHeight="1" x14ac:dyDescent="0.25">
      <c r="E659" s="1"/>
      <c r="F659" s="1"/>
      <c r="G659" s="1"/>
      <c r="U659" s="17"/>
      <c r="AD659" s="26"/>
    </row>
    <row r="660" spans="5:30" ht="20.25" customHeight="1" x14ac:dyDescent="0.25">
      <c r="E660" s="1"/>
      <c r="F660" s="1"/>
      <c r="G660" s="1"/>
      <c r="U660" s="17"/>
      <c r="AD660" s="26"/>
    </row>
    <row r="661" spans="5:30" ht="20.25" customHeight="1" x14ac:dyDescent="0.25">
      <c r="E661" s="1"/>
      <c r="F661" s="1"/>
      <c r="G661" s="1"/>
      <c r="U661" s="17"/>
      <c r="AD661" s="26"/>
    </row>
    <row r="662" spans="5:30" ht="20.25" customHeight="1" x14ac:dyDescent="0.25">
      <c r="E662" s="1"/>
      <c r="F662" s="1"/>
      <c r="G662" s="1"/>
      <c r="U662" s="17"/>
      <c r="AD662" s="26"/>
    </row>
    <row r="663" spans="5:30" ht="20.25" customHeight="1" x14ac:dyDescent="0.25">
      <c r="E663" s="1"/>
      <c r="F663" s="1"/>
      <c r="G663" s="1"/>
      <c r="U663" s="17"/>
      <c r="AD663" s="26"/>
    </row>
    <row r="664" spans="5:30" ht="20.25" customHeight="1" x14ac:dyDescent="0.25">
      <c r="E664" s="1"/>
      <c r="F664" s="1"/>
      <c r="G664" s="1"/>
      <c r="U664" s="17"/>
      <c r="AD664" s="26"/>
    </row>
    <row r="665" spans="5:30" ht="20.25" customHeight="1" x14ac:dyDescent="0.25">
      <c r="E665" s="1"/>
      <c r="F665" s="1"/>
      <c r="G665" s="1"/>
      <c r="U665" s="17"/>
      <c r="AD665" s="26"/>
    </row>
    <row r="666" spans="5:30" ht="20.25" customHeight="1" x14ac:dyDescent="0.25">
      <c r="E666" s="1"/>
      <c r="F666" s="1"/>
      <c r="G666" s="1"/>
      <c r="U666" s="17"/>
      <c r="AD666" s="26"/>
    </row>
    <row r="667" spans="5:30" ht="20.25" customHeight="1" x14ac:dyDescent="0.25">
      <c r="E667" s="1"/>
      <c r="F667" s="1"/>
      <c r="G667" s="1"/>
      <c r="U667" s="17"/>
      <c r="AD667" s="26"/>
    </row>
    <row r="668" spans="5:30" ht="20.25" customHeight="1" x14ac:dyDescent="0.25">
      <c r="E668" s="1"/>
      <c r="F668" s="1"/>
      <c r="G668" s="1"/>
      <c r="U668" s="17"/>
      <c r="AD668" s="26"/>
    </row>
    <row r="669" spans="5:30" ht="20.25" customHeight="1" x14ac:dyDescent="0.25">
      <c r="E669" s="1"/>
      <c r="F669" s="1"/>
      <c r="G669" s="1"/>
      <c r="U669" s="17"/>
      <c r="AD669" s="26"/>
    </row>
    <row r="670" spans="5:30" ht="20.25" customHeight="1" x14ac:dyDescent="0.25">
      <c r="E670" s="1"/>
      <c r="F670" s="1"/>
      <c r="G670" s="1"/>
      <c r="U670" s="17"/>
      <c r="AD670" s="26"/>
    </row>
    <row r="671" spans="5:30" ht="20.25" customHeight="1" x14ac:dyDescent="0.25">
      <c r="E671" s="1"/>
      <c r="F671" s="1"/>
      <c r="G671" s="1"/>
      <c r="U671" s="17"/>
      <c r="AD671" s="26"/>
    </row>
    <row r="672" spans="5:30" ht="20.25" customHeight="1" x14ac:dyDescent="0.25">
      <c r="E672" s="1"/>
      <c r="F672" s="1"/>
      <c r="G672" s="1"/>
      <c r="U672" s="17"/>
      <c r="AD672" s="26"/>
    </row>
    <row r="673" spans="5:30" ht="20.25" customHeight="1" x14ac:dyDescent="0.25">
      <c r="E673" s="1"/>
      <c r="F673" s="1"/>
      <c r="G673" s="1"/>
      <c r="U673" s="17"/>
      <c r="AD673" s="26"/>
    </row>
    <row r="674" spans="5:30" ht="20.25" customHeight="1" x14ac:dyDescent="0.25">
      <c r="E674" s="1"/>
      <c r="F674" s="1"/>
      <c r="G674" s="1"/>
      <c r="U674" s="17"/>
      <c r="AD674" s="26"/>
    </row>
    <row r="675" spans="5:30" ht="20.25" customHeight="1" x14ac:dyDescent="0.25">
      <c r="E675" s="1"/>
      <c r="F675" s="1"/>
      <c r="G675" s="1"/>
      <c r="U675" s="17"/>
      <c r="AD675" s="26"/>
    </row>
    <row r="676" spans="5:30" ht="20.25" customHeight="1" x14ac:dyDescent="0.25">
      <c r="E676" s="1"/>
      <c r="F676" s="1"/>
      <c r="G676" s="1"/>
      <c r="U676" s="17"/>
      <c r="AD676" s="26"/>
    </row>
    <row r="677" spans="5:30" ht="20.25" customHeight="1" x14ac:dyDescent="0.25">
      <c r="E677" s="1"/>
      <c r="F677" s="1"/>
      <c r="G677" s="1"/>
      <c r="U677" s="17"/>
      <c r="AD677" s="26"/>
    </row>
    <row r="678" spans="5:30" ht="20.25" customHeight="1" x14ac:dyDescent="0.25">
      <c r="E678" s="1"/>
      <c r="F678" s="1"/>
      <c r="G678" s="1"/>
      <c r="U678" s="17"/>
      <c r="AD678" s="26"/>
    </row>
    <row r="679" spans="5:30" ht="20.25" customHeight="1" x14ac:dyDescent="0.25">
      <c r="E679" s="1"/>
      <c r="F679" s="1"/>
      <c r="G679" s="1"/>
      <c r="U679" s="17"/>
      <c r="AD679" s="26"/>
    </row>
    <row r="680" spans="5:30" ht="20.25" customHeight="1" x14ac:dyDescent="0.25">
      <c r="E680" s="1"/>
      <c r="F680" s="1"/>
      <c r="G680" s="1"/>
      <c r="U680" s="17"/>
      <c r="AD680" s="26"/>
    </row>
    <row r="681" spans="5:30" ht="20.25" customHeight="1" x14ac:dyDescent="0.25">
      <c r="E681" s="1"/>
      <c r="F681" s="1"/>
      <c r="G681" s="1"/>
      <c r="U681" s="17"/>
      <c r="AD681" s="26"/>
    </row>
    <row r="682" spans="5:30" ht="20.25" customHeight="1" x14ac:dyDescent="0.25">
      <c r="E682" s="1"/>
      <c r="F682" s="1"/>
      <c r="G682" s="1"/>
      <c r="U682" s="17"/>
      <c r="AD682" s="26"/>
    </row>
    <row r="683" spans="5:30" ht="20.25" customHeight="1" x14ac:dyDescent="0.25">
      <c r="E683" s="1"/>
      <c r="F683" s="1"/>
      <c r="G683" s="1"/>
      <c r="U683" s="17"/>
      <c r="AD683" s="26"/>
    </row>
    <row r="684" spans="5:30" ht="20.25" customHeight="1" x14ac:dyDescent="0.25">
      <c r="E684" s="1"/>
      <c r="F684" s="1"/>
      <c r="G684" s="1"/>
      <c r="U684" s="17"/>
      <c r="AD684" s="26"/>
    </row>
    <row r="685" spans="5:30" ht="20.25" customHeight="1" x14ac:dyDescent="0.25">
      <c r="E685" s="1"/>
      <c r="F685" s="1"/>
      <c r="G685" s="1"/>
      <c r="U685" s="17"/>
      <c r="AD685" s="26"/>
    </row>
    <row r="686" spans="5:30" ht="20.25" customHeight="1" x14ac:dyDescent="0.25">
      <c r="E686" s="1"/>
      <c r="F686" s="1"/>
      <c r="G686" s="1"/>
      <c r="U686" s="17"/>
      <c r="AD686" s="26"/>
    </row>
    <row r="687" spans="5:30" ht="20.25" customHeight="1" x14ac:dyDescent="0.25">
      <c r="E687" s="1"/>
      <c r="F687" s="1"/>
      <c r="G687" s="1"/>
      <c r="U687" s="17"/>
      <c r="AD687" s="26"/>
    </row>
    <row r="688" spans="5:30" ht="20.25" customHeight="1" x14ac:dyDescent="0.25">
      <c r="E688" s="1"/>
      <c r="F688" s="1"/>
      <c r="G688" s="1"/>
      <c r="U688" s="17"/>
      <c r="AD688" s="26"/>
    </row>
    <row r="689" spans="5:30" ht="20.25" customHeight="1" x14ac:dyDescent="0.25">
      <c r="E689" s="1"/>
      <c r="F689" s="1"/>
      <c r="G689" s="1"/>
      <c r="U689" s="17"/>
      <c r="AD689" s="26"/>
    </row>
    <row r="690" spans="5:30" ht="20.25" customHeight="1" x14ac:dyDescent="0.25">
      <c r="E690" s="1"/>
      <c r="F690" s="1"/>
      <c r="G690" s="1"/>
      <c r="U690" s="17"/>
      <c r="AD690" s="26"/>
    </row>
    <row r="691" spans="5:30" ht="20.25" customHeight="1" x14ac:dyDescent="0.25">
      <c r="E691" s="1"/>
      <c r="F691" s="1"/>
      <c r="G691" s="1"/>
      <c r="U691" s="17"/>
      <c r="AD691" s="26"/>
    </row>
    <row r="692" spans="5:30" ht="20.25" customHeight="1" x14ac:dyDescent="0.25">
      <c r="E692" s="1"/>
      <c r="F692" s="1"/>
      <c r="G692" s="1"/>
      <c r="U692" s="17"/>
      <c r="AD692" s="26"/>
    </row>
    <row r="693" spans="5:30" ht="20.25" customHeight="1" x14ac:dyDescent="0.25">
      <c r="E693" s="1"/>
      <c r="F693" s="1"/>
      <c r="G693" s="1"/>
      <c r="U693" s="17"/>
      <c r="AD693" s="26"/>
    </row>
    <row r="694" spans="5:30" ht="20.25" customHeight="1" x14ac:dyDescent="0.25">
      <c r="E694" s="1"/>
      <c r="F694" s="1"/>
      <c r="G694" s="1"/>
      <c r="U694" s="17"/>
      <c r="AD694" s="26"/>
    </row>
    <row r="695" spans="5:30" ht="20.25" customHeight="1" x14ac:dyDescent="0.25">
      <c r="E695" s="1"/>
      <c r="F695" s="1"/>
      <c r="G695" s="1"/>
      <c r="U695" s="17"/>
      <c r="AD695" s="26"/>
    </row>
    <row r="696" spans="5:30" ht="20.25" customHeight="1" x14ac:dyDescent="0.25">
      <c r="E696" s="1"/>
      <c r="F696" s="1"/>
      <c r="G696" s="1"/>
      <c r="U696" s="17"/>
      <c r="AD696" s="26"/>
    </row>
    <row r="697" spans="5:30" ht="20.25" customHeight="1" x14ac:dyDescent="0.25">
      <c r="E697" s="1"/>
      <c r="F697" s="1"/>
      <c r="G697" s="1"/>
      <c r="U697" s="17"/>
      <c r="AD697" s="26"/>
    </row>
    <row r="698" spans="5:30" ht="20.25" customHeight="1" x14ac:dyDescent="0.25">
      <c r="E698" s="1"/>
      <c r="F698" s="1"/>
      <c r="G698" s="1"/>
      <c r="U698" s="17"/>
      <c r="AD698" s="26"/>
    </row>
    <row r="699" spans="5:30" ht="20.25" customHeight="1" x14ac:dyDescent="0.25">
      <c r="E699" s="1"/>
      <c r="F699" s="1"/>
      <c r="G699" s="1"/>
      <c r="U699" s="17"/>
      <c r="AD699" s="26"/>
    </row>
    <row r="700" spans="5:30" ht="20.25" customHeight="1" x14ac:dyDescent="0.25">
      <c r="E700" s="1"/>
      <c r="F700" s="1"/>
      <c r="G700" s="1"/>
      <c r="U700" s="17"/>
      <c r="AD700" s="26"/>
    </row>
    <row r="701" spans="5:30" ht="20.25" customHeight="1" x14ac:dyDescent="0.25">
      <c r="E701" s="1"/>
      <c r="F701" s="1"/>
      <c r="G701" s="1"/>
      <c r="U701" s="17"/>
      <c r="AD701" s="26"/>
    </row>
    <row r="702" spans="5:30" ht="20.25" customHeight="1" x14ac:dyDescent="0.25">
      <c r="E702" s="1"/>
      <c r="F702" s="1"/>
      <c r="G702" s="1"/>
      <c r="U702" s="17"/>
      <c r="AD702" s="26"/>
    </row>
    <row r="703" spans="5:30" ht="20.25" customHeight="1" x14ac:dyDescent="0.25">
      <c r="E703" s="1"/>
      <c r="F703" s="1"/>
      <c r="G703" s="1"/>
      <c r="U703" s="17"/>
      <c r="AD703" s="26"/>
    </row>
    <row r="704" spans="5:30" ht="20.25" customHeight="1" x14ac:dyDescent="0.25">
      <c r="E704" s="1"/>
      <c r="F704" s="1"/>
      <c r="G704" s="1"/>
      <c r="U704" s="17"/>
      <c r="AD704" s="26"/>
    </row>
    <row r="705" spans="5:30" ht="20.25" customHeight="1" x14ac:dyDescent="0.25">
      <c r="E705" s="1"/>
      <c r="F705" s="1"/>
      <c r="G705" s="1"/>
      <c r="U705" s="17"/>
      <c r="AD705" s="26"/>
    </row>
    <row r="706" spans="5:30" ht="20.25" customHeight="1" x14ac:dyDescent="0.25">
      <c r="E706" s="1"/>
      <c r="F706" s="1"/>
      <c r="G706" s="1"/>
      <c r="U706" s="17"/>
      <c r="AD706" s="26"/>
    </row>
    <row r="707" spans="5:30" ht="20.25" customHeight="1" x14ac:dyDescent="0.25">
      <c r="E707" s="1"/>
      <c r="F707" s="1"/>
      <c r="G707" s="1"/>
      <c r="U707" s="17"/>
      <c r="AD707" s="26"/>
    </row>
    <row r="708" spans="5:30" ht="20.25" customHeight="1" x14ac:dyDescent="0.25">
      <c r="E708" s="1"/>
      <c r="F708" s="1"/>
      <c r="G708" s="1"/>
      <c r="U708" s="17"/>
      <c r="AD708" s="26"/>
    </row>
    <row r="709" spans="5:30" ht="20.25" customHeight="1" x14ac:dyDescent="0.25">
      <c r="E709" s="1"/>
      <c r="F709" s="1"/>
      <c r="G709" s="1"/>
      <c r="U709" s="17"/>
      <c r="AD709" s="26"/>
    </row>
    <row r="710" spans="5:30" ht="20.25" customHeight="1" x14ac:dyDescent="0.25">
      <c r="E710" s="1"/>
      <c r="F710" s="1"/>
      <c r="G710" s="1"/>
      <c r="U710" s="17"/>
      <c r="AD710" s="26"/>
    </row>
    <row r="711" spans="5:30" ht="20.25" customHeight="1" x14ac:dyDescent="0.25">
      <c r="E711" s="1"/>
      <c r="F711" s="1"/>
      <c r="G711" s="1"/>
      <c r="U711" s="17"/>
      <c r="AD711" s="26"/>
    </row>
    <row r="712" spans="5:30" ht="20.25" customHeight="1" x14ac:dyDescent="0.25">
      <c r="E712" s="1"/>
      <c r="F712" s="1"/>
      <c r="G712" s="1"/>
      <c r="U712" s="17"/>
      <c r="AD712" s="26"/>
    </row>
    <row r="713" spans="5:30" ht="20.25" customHeight="1" x14ac:dyDescent="0.25">
      <c r="E713" s="1"/>
      <c r="F713" s="1"/>
      <c r="G713" s="1"/>
      <c r="U713" s="17"/>
      <c r="AD713" s="26"/>
    </row>
    <row r="714" spans="5:30" ht="20.25" customHeight="1" x14ac:dyDescent="0.25">
      <c r="E714" s="1"/>
      <c r="F714" s="1"/>
      <c r="G714" s="1"/>
      <c r="U714" s="17"/>
      <c r="AD714" s="26"/>
    </row>
    <row r="715" spans="5:30" ht="20.25" customHeight="1" x14ac:dyDescent="0.25">
      <c r="E715" s="1"/>
      <c r="F715" s="1"/>
      <c r="G715" s="1"/>
      <c r="U715" s="17"/>
      <c r="AD715" s="26"/>
    </row>
    <row r="716" spans="5:30" ht="20.25" customHeight="1" x14ac:dyDescent="0.25">
      <c r="E716" s="1"/>
      <c r="F716" s="1"/>
      <c r="G716" s="1"/>
      <c r="U716" s="17"/>
      <c r="AD716" s="26"/>
    </row>
    <row r="717" spans="5:30" ht="20.25" customHeight="1" x14ac:dyDescent="0.25">
      <c r="E717" s="1"/>
      <c r="F717" s="1"/>
      <c r="G717" s="1"/>
      <c r="U717" s="17"/>
      <c r="AD717" s="26"/>
    </row>
    <row r="718" spans="5:30" ht="20.25" customHeight="1" x14ac:dyDescent="0.25">
      <c r="E718" s="1"/>
      <c r="F718" s="1"/>
      <c r="G718" s="1"/>
      <c r="U718" s="17"/>
      <c r="AD718" s="26"/>
    </row>
    <row r="719" spans="5:30" ht="20.25" customHeight="1" x14ac:dyDescent="0.25">
      <c r="E719" s="1"/>
      <c r="F719" s="1"/>
      <c r="G719" s="1"/>
      <c r="U719" s="17"/>
      <c r="AD719" s="26"/>
    </row>
    <row r="720" spans="5:30" ht="20.25" customHeight="1" x14ac:dyDescent="0.25">
      <c r="E720" s="1"/>
      <c r="F720" s="1"/>
      <c r="G720" s="1"/>
      <c r="U720" s="17"/>
      <c r="AD720" s="26"/>
    </row>
    <row r="721" spans="5:30" ht="20.25" customHeight="1" x14ac:dyDescent="0.25">
      <c r="E721" s="1"/>
      <c r="F721" s="1"/>
      <c r="G721" s="1"/>
      <c r="U721" s="17"/>
      <c r="AD721" s="26"/>
    </row>
    <row r="722" spans="5:30" ht="20.25" customHeight="1" x14ac:dyDescent="0.25">
      <c r="E722" s="1"/>
      <c r="F722" s="1"/>
      <c r="G722" s="1"/>
      <c r="U722" s="17"/>
      <c r="AD722" s="26"/>
    </row>
    <row r="723" spans="5:30" ht="20.25" customHeight="1" x14ac:dyDescent="0.25">
      <c r="E723" s="1"/>
      <c r="F723" s="1"/>
      <c r="G723" s="1"/>
      <c r="U723" s="17"/>
      <c r="AD723" s="26"/>
    </row>
    <row r="724" spans="5:30" ht="20.25" customHeight="1" x14ac:dyDescent="0.25">
      <c r="E724" s="1"/>
      <c r="F724" s="1"/>
      <c r="G724" s="1"/>
      <c r="U724" s="17"/>
      <c r="AD724" s="26"/>
    </row>
    <row r="725" spans="5:30" ht="20.25" customHeight="1" x14ac:dyDescent="0.25">
      <c r="E725" s="1"/>
      <c r="F725" s="1"/>
      <c r="G725" s="1"/>
      <c r="U725" s="17"/>
      <c r="AD725" s="26"/>
    </row>
    <row r="726" spans="5:30" ht="20.25" customHeight="1" x14ac:dyDescent="0.25">
      <c r="E726" s="1"/>
      <c r="F726" s="1"/>
      <c r="G726" s="1"/>
      <c r="U726" s="17"/>
      <c r="AD726" s="26"/>
    </row>
    <row r="727" spans="5:30" ht="20.25" customHeight="1" x14ac:dyDescent="0.25">
      <c r="E727" s="1"/>
      <c r="F727" s="1"/>
      <c r="G727" s="1"/>
      <c r="U727" s="17"/>
      <c r="AD727" s="26"/>
    </row>
    <row r="728" spans="5:30" ht="20.25" customHeight="1" x14ac:dyDescent="0.25">
      <c r="E728" s="1"/>
      <c r="F728" s="1"/>
      <c r="G728" s="1"/>
      <c r="U728" s="17"/>
      <c r="AD728" s="26"/>
    </row>
    <row r="729" spans="5:30" ht="20.25" customHeight="1" x14ac:dyDescent="0.25">
      <c r="E729" s="1"/>
      <c r="F729" s="1"/>
      <c r="G729" s="1"/>
      <c r="U729" s="17"/>
      <c r="AD729" s="26"/>
    </row>
    <row r="730" spans="5:30" ht="20.25" customHeight="1" x14ac:dyDescent="0.25">
      <c r="E730" s="1"/>
      <c r="F730" s="1"/>
      <c r="G730" s="1"/>
      <c r="U730" s="17"/>
      <c r="AD730" s="26"/>
    </row>
    <row r="731" spans="5:30" ht="20.25" customHeight="1" x14ac:dyDescent="0.25">
      <c r="E731" s="1"/>
      <c r="F731" s="1"/>
      <c r="G731" s="1"/>
      <c r="U731" s="17"/>
      <c r="AD731" s="26"/>
    </row>
    <row r="732" spans="5:30" ht="20.25" customHeight="1" x14ac:dyDescent="0.25">
      <c r="E732" s="1"/>
      <c r="F732" s="1"/>
      <c r="G732" s="1"/>
      <c r="U732" s="17"/>
      <c r="AD732" s="26"/>
    </row>
    <row r="733" spans="5:30" ht="20.25" customHeight="1" x14ac:dyDescent="0.25">
      <c r="E733" s="1"/>
      <c r="F733" s="1"/>
      <c r="G733" s="1"/>
      <c r="U733" s="17"/>
      <c r="AD733" s="26"/>
    </row>
    <row r="734" spans="5:30" ht="20.25" customHeight="1" x14ac:dyDescent="0.25">
      <c r="E734" s="1"/>
      <c r="F734" s="1"/>
      <c r="G734" s="1"/>
      <c r="U734" s="17"/>
      <c r="AD734" s="26"/>
    </row>
    <row r="735" spans="5:30" ht="20.25" customHeight="1" x14ac:dyDescent="0.25">
      <c r="E735" s="1"/>
      <c r="F735" s="1"/>
      <c r="G735" s="1"/>
      <c r="U735" s="17"/>
      <c r="AD735" s="26"/>
    </row>
    <row r="736" spans="5:30" ht="20.25" customHeight="1" x14ac:dyDescent="0.25">
      <c r="E736" s="1"/>
      <c r="F736" s="1"/>
      <c r="G736" s="1"/>
      <c r="U736" s="17"/>
      <c r="AD736" s="26"/>
    </row>
    <row r="737" spans="5:30" ht="20.25" customHeight="1" x14ac:dyDescent="0.25">
      <c r="E737" s="1"/>
      <c r="F737" s="1"/>
      <c r="G737" s="1"/>
      <c r="U737" s="17"/>
      <c r="AD737" s="26"/>
    </row>
    <row r="738" spans="5:30" ht="20.25" customHeight="1" x14ac:dyDescent="0.25">
      <c r="E738" s="1"/>
      <c r="F738" s="1"/>
      <c r="G738" s="1"/>
      <c r="U738" s="17"/>
      <c r="AD738" s="26"/>
    </row>
    <row r="739" spans="5:30" ht="20.25" customHeight="1" x14ac:dyDescent="0.25">
      <c r="E739" s="1"/>
      <c r="F739" s="1"/>
      <c r="G739" s="1"/>
      <c r="U739" s="17"/>
      <c r="AD739" s="26"/>
    </row>
    <row r="740" spans="5:30" ht="20.25" customHeight="1" x14ac:dyDescent="0.25">
      <c r="E740" s="1"/>
      <c r="F740" s="1"/>
      <c r="G740" s="1"/>
      <c r="U740" s="17"/>
      <c r="AD740" s="26"/>
    </row>
    <row r="741" spans="5:30" ht="20.25" customHeight="1" x14ac:dyDescent="0.25">
      <c r="E741" s="1"/>
      <c r="F741" s="1"/>
      <c r="G741" s="1"/>
      <c r="U741" s="17"/>
      <c r="AD741" s="26"/>
    </row>
    <row r="742" spans="5:30" ht="20.25" customHeight="1" x14ac:dyDescent="0.25">
      <c r="E742" s="1"/>
      <c r="F742" s="1"/>
      <c r="G742" s="1"/>
      <c r="U742" s="17"/>
      <c r="AD742" s="26"/>
    </row>
    <row r="743" spans="5:30" ht="20.25" customHeight="1" x14ac:dyDescent="0.25">
      <c r="E743" s="1"/>
      <c r="F743" s="1"/>
      <c r="G743" s="1"/>
      <c r="U743" s="17"/>
      <c r="AD743" s="26"/>
    </row>
    <row r="744" spans="5:30" ht="20.25" customHeight="1" x14ac:dyDescent="0.25">
      <c r="E744" s="1"/>
      <c r="F744" s="1"/>
      <c r="G744" s="1"/>
      <c r="U744" s="17"/>
      <c r="AD744" s="26"/>
    </row>
    <row r="745" spans="5:30" ht="20.25" customHeight="1" x14ac:dyDescent="0.25">
      <c r="E745" s="1"/>
      <c r="F745" s="1"/>
      <c r="G745" s="1"/>
      <c r="U745" s="17"/>
      <c r="AD745" s="26"/>
    </row>
    <row r="746" spans="5:30" ht="20.25" customHeight="1" x14ac:dyDescent="0.25">
      <c r="E746" s="1"/>
      <c r="F746" s="1"/>
      <c r="G746" s="1"/>
      <c r="U746" s="17"/>
      <c r="AD746" s="26"/>
    </row>
    <row r="747" spans="5:30" ht="20.25" customHeight="1" x14ac:dyDescent="0.25">
      <c r="E747" s="1"/>
      <c r="F747" s="1"/>
      <c r="G747" s="1"/>
      <c r="U747" s="17"/>
      <c r="AD747" s="26"/>
    </row>
    <row r="748" spans="5:30" ht="20.25" customHeight="1" x14ac:dyDescent="0.25">
      <c r="E748" s="1"/>
      <c r="F748" s="1"/>
      <c r="G748" s="1"/>
      <c r="U748" s="17"/>
      <c r="AD748" s="26"/>
    </row>
    <row r="749" spans="5:30" ht="20.25" customHeight="1" x14ac:dyDescent="0.25">
      <c r="E749" s="1"/>
      <c r="F749" s="1"/>
      <c r="G749" s="1"/>
      <c r="U749" s="17"/>
      <c r="AD749" s="26"/>
    </row>
    <row r="750" spans="5:30" ht="20.25" customHeight="1" x14ac:dyDescent="0.25">
      <c r="E750" s="1"/>
      <c r="F750" s="1"/>
      <c r="G750" s="1"/>
      <c r="U750" s="17"/>
      <c r="AD750" s="26"/>
    </row>
    <row r="751" spans="5:30" ht="20.25" customHeight="1" x14ac:dyDescent="0.25">
      <c r="E751" s="1"/>
      <c r="F751" s="1"/>
      <c r="G751" s="1"/>
      <c r="U751" s="17"/>
      <c r="AD751" s="26"/>
    </row>
    <row r="752" spans="5:30" ht="20.25" customHeight="1" x14ac:dyDescent="0.25">
      <c r="E752" s="1"/>
      <c r="F752" s="1"/>
      <c r="G752" s="1"/>
      <c r="U752" s="17"/>
      <c r="AD752" s="26"/>
    </row>
    <row r="753" spans="5:30" ht="20.25" customHeight="1" x14ac:dyDescent="0.25">
      <c r="E753" s="1"/>
      <c r="F753" s="1"/>
      <c r="G753" s="1"/>
      <c r="U753" s="17"/>
      <c r="AD753" s="26"/>
    </row>
    <row r="754" spans="5:30" ht="20.25" customHeight="1" x14ac:dyDescent="0.25">
      <c r="E754" s="1"/>
      <c r="F754" s="1"/>
      <c r="G754" s="1"/>
      <c r="U754" s="17"/>
      <c r="AD754" s="26"/>
    </row>
    <row r="755" spans="5:30" ht="20.25" customHeight="1" x14ac:dyDescent="0.25">
      <c r="E755" s="1"/>
      <c r="F755" s="1"/>
      <c r="G755" s="1"/>
      <c r="U755" s="17"/>
      <c r="AD755" s="26"/>
    </row>
    <row r="756" spans="5:30" ht="20.25" customHeight="1" x14ac:dyDescent="0.25">
      <c r="E756" s="1"/>
      <c r="F756" s="1"/>
      <c r="G756" s="1"/>
      <c r="U756" s="17"/>
      <c r="AD756" s="26"/>
    </row>
    <row r="757" spans="5:30" ht="20.25" customHeight="1" x14ac:dyDescent="0.25">
      <c r="E757" s="1"/>
      <c r="F757" s="1"/>
      <c r="G757" s="1"/>
      <c r="U757" s="17"/>
      <c r="AD757" s="26"/>
    </row>
    <row r="758" spans="5:30" ht="20.25" customHeight="1" x14ac:dyDescent="0.25">
      <c r="E758" s="1"/>
      <c r="F758" s="1"/>
      <c r="G758" s="1"/>
      <c r="U758" s="17"/>
      <c r="AD758" s="26"/>
    </row>
    <row r="759" spans="5:30" ht="20.25" customHeight="1" x14ac:dyDescent="0.25">
      <c r="E759" s="1"/>
      <c r="F759" s="1"/>
      <c r="G759" s="1"/>
      <c r="U759" s="17"/>
      <c r="AD759" s="26"/>
    </row>
    <row r="760" spans="5:30" ht="20.25" customHeight="1" x14ac:dyDescent="0.25">
      <c r="E760" s="1"/>
      <c r="F760" s="1"/>
      <c r="G760" s="1"/>
      <c r="U760" s="17"/>
      <c r="AD760" s="26"/>
    </row>
    <row r="761" spans="5:30" ht="20.25" customHeight="1" x14ac:dyDescent="0.25">
      <c r="E761" s="1"/>
      <c r="F761" s="1"/>
      <c r="G761" s="1"/>
      <c r="U761" s="17"/>
      <c r="AD761" s="26"/>
    </row>
    <row r="762" spans="5:30" ht="20.25" customHeight="1" x14ac:dyDescent="0.25">
      <c r="E762" s="1"/>
      <c r="F762" s="1"/>
      <c r="G762" s="1"/>
      <c r="U762" s="17"/>
      <c r="AD762" s="26"/>
    </row>
    <row r="763" spans="5:30" ht="20.25" customHeight="1" x14ac:dyDescent="0.25">
      <c r="E763" s="1"/>
      <c r="F763" s="1"/>
      <c r="G763" s="1"/>
      <c r="U763" s="17"/>
      <c r="AD763" s="26"/>
    </row>
    <row r="764" spans="5:30" ht="20.25" customHeight="1" x14ac:dyDescent="0.25">
      <c r="E764" s="1"/>
      <c r="F764" s="1"/>
      <c r="G764" s="1"/>
      <c r="U764" s="17"/>
      <c r="AD764" s="26"/>
    </row>
    <row r="765" spans="5:30" ht="20.25" customHeight="1" x14ac:dyDescent="0.25">
      <c r="E765" s="1"/>
      <c r="F765" s="1"/>
      <c r="G765" s="1"/>
      <c r="U765" s="17"/>
      <c r="AD765" s="26"/>
    </row>
    <row r="766" spans="5:30" ht="20.25" customHeight="1" x14ac:dyDescent="0.25">
      <c r="E766" s="1"/>
      <c r="F766" s="1"/>
      <c r="G766" s="1"/>
      <c r="U766" s="17"/>
      <c r="AD766" s="26"/>
    </row>
    <row r="767" spans="5:30" ht="20.25" customHeight="1" x14ac:dyDescent="0.25">
      <c r="E767" s="1"/>
      <c r="F767" s="1"/>
      <c r="G767" s="1"/>
      <c r="U767" s="17"/>
      <c r="AD767" s="26"/>
    </row>
    <row r="768" spans="5:30" ht="20.25" customHeight="1" x14ac:dyDescent="0.25">
      <c r="E768" s="1"/>
      <c r="F768" s="1"/>
      <c r="G768" s="1"/>
      <c r="U768" s="17"/>
      <c r="AD768" s="26"/>
    </row>
    <row r="769" spans="5:30" ht="20.25" customHeight="1" x14ac:dyDescent="0.25">
      <c r="E769" s="1"/>
      <c r="F769" s="1"/>
      <c r="G769" s="1"/>
      <c r="U769" s="17"/>
      <c r="AD769" s="26"/>
    </row>
    <row r="770" spans="5:30" ht="20.25" customHeight="1" x14ac:dyDescent="0.25">
      <c r="E770" s="1"/>
      <c r="F770" s="1"/>
      <c r="G770" s="1"/>
      <c r="U770" s="17"/>
      <c r="AD770" s="26"/>
    </row>
    <row r="771" spans="5:30" ht="20.25" customHeight="1" x14ac:dyDescent="0.25">
      <c r="E771" s="1"/>
      <c r="F771" s="1"/>
      <c r="G771" s="1"/>
      <c r="U771" s="17"/>
      <c r="AD771" s="26"/>
    </row>
    <row r="772" spans="5:30" ht="20.25" customHeight="1" x14ac:dyDescent="0.25">
      <c r="E772" s="1"/>
      <c r="F772" s="1"/>
      <c r="G772" s="1"/>
      <c r="U772" s="17"/>
      <c r="AD772" s="26"/>
    </row>
    <row r="773" spans="5:30" ht="20.25" customHeight="1" x14ac:dyDescent="0.25">
      <c r="E773" s="1"/>
      <c r="F773" s="1"/>
      <c r="G773" s="1"/>
      <c r="U773" s="17"/>
      <c r="AD773" s="26"/>
    </row>
    <row r="774" spans="5:30" ht="20.25" customHeight="1" x14ac:dyDescent="0.25">
      <c r="E774" s="1"/>
      <c r="F774" s="1"/>
      <c r="G774" s="1"/>
      <c r="U774" s="17"/>
      <c r="AD774" s="26"/>
    </row>
    <row r="775" spans="5:30" ht="20.25" customHeight="1" x14ac:dyDescent="0.25">
      <c r="E775" s="1"/>
      <c r="F775" s="1"/>
      <c r="G775" s="1"/>
      <c r="U775" s="17"/>
      <c r="AD775" s="26"/>
    </row>
    <row r="776" spans="5:30" ht="20.25" customHeight="1" x14ac:dyDescent="0.25">
      <c r="E776" s="1"/>
      <c r="F776" s="1"/>
      <c r="G776" s="1"/>
      <c r="U776" s="17"/>
      <c r="AD776" s="26"/>
    </row>
    <row r="777" spans="5:30" ht="20.25" customHeight="1" x14ac:dyDescent="0.25">
      <c r="E777" s="1"/>
      <c r="F777" s="1"/>
      <c r="G777" s="1"/>
      <c r="U777" s="17"/>
      <c r="AD777" s="26"/>
    </row>
    <row r="778" spans="5:30" ht="20.25" customHeight="1" x14ac:dyDescent="0.25">
      <c r="E778" s="1"/>
      <c r="F778" s="1"/>
      <c r="G778" s="1"/>
      <c r="U778" s="17"/>
      <c r="AD778" s="26"/>
    </row>
    <row r="779" spans="5:30" ht="20.25" customHeight="1" x14ac:dyDescent="0.25">
      <c r="E779" s="1"/>
      <c r="F779" s="1"/>
      <c r="G779" s="1"/>
      <c r="U779" s="17"/>
      <c r="AD779" s="26"/>
    </row>
    <row r="780" spans="5:30" ht="20.25" customHeight="1" x14ac:dyDescent="0.25">
      <c r="E780" s="1"/>
      <c r="F780" s="1"/>
      <c r="G780" s="1"/>
      <c r="U780" s="17"/>
      <c r="AD780" s="26"/>
    </row>
    <row r="781" spans="5:30" ht="20.25" customHeight="1" x14ac:dyDescent="0.25">
      <c r="E781" s="1"/>
      <c r="F781" s="1"/>
      <c r="G781" s="1"/>
      <c r="U781" s="17"/>
      <c r="AD781" s="26"/>
    </row>
    <row r="782" spans="5:30" ht="20.25" customHeight="1" x14ac:dyDescent="0.25">
      <c r="E782" s="1"/>
      <c r="F782" s="1"/>
      <c r="G782" s="1"/>
      <c r="U782" s="17"/>
      <c r="AD782" s="26"/>
    </row>
    <row r="783" spans="5:30" ht="20.25" customHeight="1" x14ac:dyDescent="0.25">
      <c r="E783" s="1"/>
      <c r="F783" s="1"/>
      <c r="G783" s="1"/>
      <c r="U783" s="17"/>
      <c r="AD783" s="26"/>
    </row>
    <row r="784" spans="5:30" ht="20.25" customHeight="1" x14ac:dyDescent="0.25">
      <c r="E784" s="1"/>
      <c r="F784" s="1"/>
      <c r="G784" s="1"/>
      <c r="U784" s="17"/>
      <c r="AD784" s="26"/>
    </row>
    <row r="785" spans="5:30" ht="20.25" customHeight="1" x14ac:dyDescent="0.25">
      <c r="E785" s="1"/>
      <c r="F785" s="1"/>
      <c r="G785" s="1"/>
      <c r="U785" s="17"/>
      <c r="AD785" s="26"/>
    </row>
    <row r="786" spans="5:30" ht="20.25" customHeight="1" x14ac:dyDescent="0.25">
      <c r="E786" s="1"/>
      <c r="F786" s="1"/>
      <c r="G786" s="1"/>
      <c r="U786" s="17"/>
      <c r="AD786" s="26"/>
    </row>
    <row r="787" spans="5:30" ht="20.25" customHeight="1" x14ac:dyDescent="0.25">
      <c r="E787" s="1"/>
      <c r="F787" s="1"/>
      <c r="G787" s="1"/>
      <c r="U787" s="17"/>
      <c r="AD787" s="26"/>
    </row>
    <row r="788" spans="5:30" ht="20.25" customHeight="1" x14ac:dyDescent="0.25">
      <c r="E788" s="1"/>
      <c r="F788" s="1"/>
      <c r="G788" s="1"/>
      <c r="U788" s="17"/>
      <c r="AD788" s="26"/>
    </row>
    <row r="789" spans="5:30" ht="20.25" customHeight="1" x14ac:dyDescent="0.25">
      <c r="E789" s="1"/>
      <c r="F789" s="1"/>
      <c r="G789" s="1"/>
      <c r="U789" s="17"/>
      <c r="AD789" s="26"/>
    </row>
    <row r="790" spans="5:30" ht="20.25" customHeight="1" x14ac:dyDescent="0.25">
      <c r="E790" s="1"/>
      <c r="F790" s="1"/>
      <c r="G790" s="1"/>
      <c r="U790" s="17"/>
      <c r="AD790" s="26"/>
    </row>
    <row r="791" spans="5:30" ht="20.25" customHeight="1" x14ac:dyDescent="0.25">
      <c r="E791" s="1"/>
      <c r="F791" s="1"/>
      <c r="G791" s="1"/>
      <c r="U791" s="17"/>
      <c r="AD791" s="26"/>
    </row>
    <row r="792" spans="5:30" ht="20.25" customHeight="1" x14ac:dyDescent="0.25">
      <c r="E792" s="1"/>
      <c r="F792" s="1"/>
      <c r="G792" s="1"/>
      <c r="U792" s="17"/>
      <c r="AD792" s="26"/>
    </row>
    <row r="793" spans="5:30" ht="20.25" customHeight="1" x14ac:dyDescent="0.25">
      <c r="E793" s="1"/>
      <c r="F793" s="1"/>
      <c r="G793" s="1"/>
      <c r="U793" s="17"/>
      <c r="AD793" s="26"/>
    </row>
    <row r="794" spans="5:30" ht="20.25" customHeight="1" x14ac:dyDescent="0.25">
      <c r="E794" s="1"/>
      <c r="F794" s="1"/>
      <c r="G794" s="1"/>
      <c r="U794" s="17"/>
      <c r="AD794" s="26"/>
    </row>
    <row r="795" spans="5:30" ht="20.25" customHeight="1" x14ac:dyDescent="0.25">
      <c r="U795" s="17"/>
      <c r="AD795" s="26"/>
    </row>
    <row r="796" spans="5:30" ht="20.25" customHeight="1" x14ac:dyDescent="0.25">
      <c r="U796" s="17"/>
      <c r="AD796" s="26"/>
    </row>
    <row r="797" spans="5:30" ht="20.25" customHeight="1" x14ac:dyDescent="0.25">
      <c r="U797" s="17"/>
      <c r="AD797" s="26"/>
    </row>
    <row r="798" spans="5:30" ht="20.25" customHeight="1" x14ac:dyDescent="0.25">
      <c r="U798" s="17"/>
      <c r="AD798" s="26"/>
    </row>
    <row r="799" spans="5:30" ht="20.25" customHeight="1" x14ac:dyDescent="0.25">
      <c r="U799" s="17"/>
      <c r="AD799" s="26"/>
    </row>
    <row r="800" spans="5:30" ht="20.25" customHeight="1" x14ac:dyDescent="0.25">
      <c r="U800" s="17"/>
      <c r="AD800" s="26"/>
    </row>
    <row r="801" spans="21:30" ht="20.25" customHeight="1" x14ac:dyDescent="0.25">
      <c r="U801" s="17"/>
      <c r="AD801" s="26"/>
    </row>
    <row r="802" spans="21:30" ht="20.25" customHeight="1" x14ac:dyDescent="0.25">
      <c r="U802" s="17"/>
      <c r="AD802" s="26"/>
    </row>
    <row r="803" spans="21:30" ht="20.25" customHeight="1" x14ac:dyDescent="0.25">
      <c r="U803" s="17"/>
      <c r="AD803" s="26"/>
    </row>
    <row r="804" spans="21:30" ht="20.25" customHeight="1" x14ac:dyDescent="0.25">
      <c r="U804" s="17"/>
      <c r="AD804" s="26"/>
    </row>
    <row r="805" spans="21:30" ht="20.25" customHeight="1" x14ac:dyDescent="0.25">
      <c r="U805" s="17"/>
      <c r="AD805" s="26"/>
    </row>
    <row r="806" spans="21:30" ht="20.25" customHeight="1" x14ac:dyDescent="0.25">
      <c r="U806" s="17"/>
      <c r="AD806" s="26"/>
    </row>
    <row r="807" spans="21:30" ht="20.25" customHeight="1" x14ac:dyDescent="0.25">
      <c r="U807" s="17"/>
      <c r="AD807" s="26"/>
    </row>
    <row r="808" spans="21:30" ht="20.25" customHeight="1" x14ac:dyDescent="0.25">
      <c r="U808" s="17"/>
      <c r="AD808" s="26"/>
    </row>
    <row r="809" spans="21:30" ht="20.25" customHeight="1" x14ac:dyDescent="0.25">
      <c r="U809" s="17"/>
      <c r="AD809" s="26"/>
    </row>
    <row r="810" spans="21:30" ht="20.25" customHeight="1" x14ac:dyDescent="0.25">
      <c r="U810" s="17"/>
      <c r="AD810" s="26"/>
    </row>
    <row r="811" spans="21:30" ht="20.25" customHeight="1" x14ac:dyDescent="0.25">
      <c r="U811" s="17"/>
      <c r="AD811" s="26"/>
    </row>
    <row r="812" spans="21:30" ht="20.25" customHeight="1" x14ac:dyDescent="0.25">
      <c r="U812" s="17"/>
      <c r="AD812" s="26"/>
    </row>
    <row r="813" spans="21:30" ht="20.25" customHeight="1" x14ac:dyDescent="0.25">
      <c r="U813" s="17"/>
      <c r="AD813" s="26"/>
    </row>
    <row r="814" spans="21:30" ht="20.25" customHeight="1" x14ac:dyDescent="0.25">
      <c r="U814" s="17"/>
      <c r="AD814" s="26"/>
    </row>
    <row r="815" spans="21:30" ht="20.25" customHeight="1" x14ac:dyDescent="0.25">
      <c r="U815" s="17"/>
      <c r="AD815" s="26"/>
    </row>
    <row r="816" spans="21:30" ht="20.25" customHeight="1" x14ac:dyDescent="0.25">
      <c r="U816" s="17"/>
      <c r="AD816" s="26"/>
    </row>
    <row r="817" spans="21:30" ht="20.25" customHeight="1" x14ac:dyDescent="0.25">
      <c r="U817" s="17"/>
      <c r="AD817" s="26"/>
    </row>
    <row r="818" spans="21:30" ht="20.25" customHeight="1" x14ac:dyDescent="0.25">
      <c r="U818" s="17"/>
      <c r="AD818" s="26"/>
    </row>
    <row r="819" spans="21:30" ht="20.25" customHeight="1" x14ac:dyDescent="0.25">
      <c r="U819" s="17"/>
      <c r="AD819" s="26"/>
    </row>
    <row r="820" spans="21:30" ht="20.25" customHeight="1" x14ac:dyDescent="0.25">
      <c r="U820" s="17"/>
      <c r="AD820" s="26"/>
    </row>
    <row r="821" spans="21:30" ht="20.25" customHeight="1" x14ac:dyDescent="0.25">
      <c r="U821" s="17"/>
      <c r="AD821" s="26"/>
    </row>
    <row r="822" spans="21:30" ht="20.25" customHeight="1" x14ac:dyDescent="0.25">
      <c r="U822" s="17"/>
      <c r="AD822" s="26"/>
    </row>
    <row r="823" spans="21:30" ht="20.25" customHeight="1" x14ac:dyDescent="0.25">
      <c r="U823" s="17"/>
      <c r="AD823" s="26"/>
    </row>
    <row r="824" spans="21:30" ht="20.25" customHeight="1" x14ac:dyDescent="0.25">
      <c r="U824" s="17"/>
      <c r="AD824" s="26"/>
    </row>
    <row r="825" spans="21:30" ht="20.25" customHeight="1" x14ac:dyDescent="0.25">
      <c r="U825" s="17"/>
      <c r="AD825" s="26"/>
    </row>
    <row r="826" spans="21:30" ht="20.25" customHeight="1" x14ac:dyDescent="0.25">
      <c r="U826" s="17"/>
      <c r="AD826" s="26"/>
    </row>
    <row r="827" spans="21:30" ht="20.25" customHeight="1" x14ac:dyDescent="0.25">
      <c r="U827" s="17"/>
      <c r="AD827" s="26"/>
    </row>
    <row r="828" spans="21:30" ht="20.25" customHeight="1" x14ac:dyDescent="0.25">
      <c r="U828" s="17"/>
      <c r="AD828" s="26"/>
    </row>
    <row r="829" spans="21:30" ht="20.25" customHeight="1" x14ac:dyDescent="0.25">
      <c r="U829" s="17"/>
      <c r="AD829" s="26"/>
    </row>
    <row r="830" spans="21:30" ht="20.25" customHeight="1" x14ac:dyDescent="0.25">
      <c r="U830" s="17"/>
      <c r="AD830" s="26"/>
    </row>
    <row r="831" spans="21:30" ht="20.25" customHeight="1" x14ac:dyDescent="0.25">
      <c r="U831" s="17"/>
      <c r="AD831" s="26"/>
    </row>
    <row r="832" spans="21:30" ht="20.25" customHeight="1" x14ac:dyDescent="0.25">
      <c r="U832" s="17"/>
      <c r="AD832" s="26"/>
    </row>
    <row r="833" spans="21:30" ht="20.25" customHeight="1" x14ac:dyDescent="0.25">
      <c r="U833" s="17"/>
      <c r="AD833" s="26"/>
    </row>
    <row r="834" spans="21:30" ht="20.25" customHeight="1" x14ac:dyDescent="0.25">
      <c r="U834" s="17"/>
      <c r="AD834" s="26"/>
    </row>
    <row r="835" spans="21:30" ht="20.25" customHeight="1" x14ac:dyDescent="0.25">
      <c r="U835" s="17"/>
      <c r="AD835" s="26"/>
    </row>
    <row r="836" spans="21:30" ht="20.25" customHeight="1" x14ac:dyDescent="0.25">
      <c r="U836" s="17"/>
      <c r="AD836" s="26"/>
    </row>
    <row r="837" spans="21:30" ht="20.25" customHeight="1" x14ac:dyDescent="0.25">
      <c r="U837" s="17"/>
      <c r="AD837" s="26"/>
    </row>
    <row r="838" spans="21:30" ht="20.25" customHeight="1" x14ac:dyDescent="0.25">
      <c r="U838" s="17"/>
      <c r="AD838" s="26"/>
    </row>
    <row r="839" spans="21:30" ht="20.25" customHeight="1" x14ac:dyDescent="0.25">
      <c r="U839" s="17"/>
      <c r="AD839" s="26"/>
    </row>
    <row r="840" spans="21:30" ht="20.25" customHeight="1" x14ac:dyDescent="0.25">
      <c r="U840" s="17"/>
      <c r="AD840" s="26"/>
    </row>
    <row r="841" spans="21:30" ht="20.25" customHeight="1" x14ac:dyDescent="0.25">
      <c r="U841" s="17"/>
      <c r="AD841" s="26"/>
    </row>
    <row r="842" spans="21:30" ht="20.25" customHeight="1" x14ac:dyDescent="0.25">
      <c r="U842" s="17"/>
      <c r="AD842" s="26"/>
    </row>
    <row r="843" spans="21:30" ht="20.25" customHeight="1" x14ac:dyDescent="0.25">
      <c r="U843" s="17"/>
      <c r="AD843" s="26"/>
    </row>
    <row r="844" spans="21:30" ht="20.25" customHeight="1" x14ac:dyDescent="0.25">
      <c r="U844" s="17"/>
      <c r="AD844" s="26"/>
    </row>
    <row r="845" spans="21:30" ht="20.25" customHeight="1" x14ac:dyDescent="0.25">
      <c r="U845" s="17"/>
      <c r="AD845" s="26"/>
    </row>
    <row r="846" spans="21:30" ht="20.25" customHeight="1" x14ac:dyDescent="0.25">
      <c r="U846" s="17"/>
      <c r="AD846" s="26"/>
    </row>
    <row r="847" spans="21:30" ht="20.25" customHeight="1" x14ac:dyDescent="0.25">
      <c r="U847" s="17"/>
      <c r="AD847" s="26"/>
    </row>
    <row r="848" spans="21:30" ht="20.25" customHeight="1" x14ac:dyDescent="0.25">
      <c r="U848" s="17"/>
      <c r="AD848" s="26"/>
    </row>
    <row r="849" spans="21:30" ht="20.25" customHeight="1" x14ac:dyDescent="0.25">
      <c r="U849" s="17"/>
      <c r="AD849" s="26"/>
    </row>
    <row r="850" spans="21:30" ht="20.25" customHeight="1" x14ac:dyDescent="0.25">
      <c r="U850" s="17"/>
      <c r="AD850" s="26"/>
    </row>
    <row r="851" spans="21:30" ht="20.25" customHeight="1" x14ac:dyDescent="0.25">
      <c r="U851" s="17"/>
      <c r="AD851" s="26"/>
    </row>
    <row r="852" spans="21:30" ht="20.25" customHeight="1" x14ac:dyDescent="0.25">
      <c r="U852" s="17"/>
      <c r="AD852" s="26"/>
    </row>
    <row r="853" spans="21:30" ht="20.25" customHeight="1" x14ac:dyDescent="0.25">
      <c r="U853" s="17"/>
      <c r="AD853" s="26"/>
    </row>
    <row r="854" spans="21:30" ht="20.25" customHeight="1" x14ac:dyDescent="0.25">
      <c r="U854" s="17"/>
      <c r="AD854" s="26"/>
    </row>
    <row r="855" spans="21:30" ht="20.25" customHeight="1" x14ac:dyDescent="0.25">
      <c r="U855" s="17"/>
      <c r="AD855" s="26"/>
    </row>
    <row r="856" spans="21:30" ht="20.25" customHeight="1" x14ac:dyDescent="0.25">
      <c r="U856" s="17"/>
      <c r="AD856" s="26"/>
    </row>
    <row r="857" spans="21:30" ht="20.25" customHeight="1" x14ac:dyDescent="0.25">
      <c r="U857" s="17"/>
      <c r="AD857" s="26"/>
    </row>
    <row r="858" spans="21:30" ht="20.25" customHeight="1" x14ac:dyDescent="0.25">
      <c r="U858" s="17"/>
      <c r="AD858" s="26"/>
    </row>
    <row r="859" spans="21:30" ht="20.25" customHeight="1" x14ac:dyDescent="0.25">
      <c r="U859" s="17"/>
      <c r="AD859" s="26"/>
    </row>
    <row r="860" spans="21:30" ht="20.25" customHeight="1" x14ac:dyDescent="0.25">
      <c r="U860" s="17"/>
      <c r="AD860" s="26"/>
    </row>
    <row r="861" spans="21:30" ht="20.25" customHeight="1" x14ac:dyDescent="0.25">
      <c r="U861" s="17"/>
      <c r="AD861" s="26"/>
    </row>
    <row r="862" spans="21:30" ht="20.25" customHeight="1" x14ac:dyDescent="0.25">
      <c r="U862" s="17"/>
      <c r="AD862" s="26"/>
    </row>
    <row r="863" spans="21:30" ht="20.25" customHeight="1" x14ac:dyDescent="0.25">
      <c r="U863" s="17"/>
      <c r="AD863" s="26"/>
    </row>
    <row r="864" spans="21:30" ht="20.25" customHeight="1" x14ac:dyDescent="0.25">
      <c r="U864" s="17"/>
      <c r="AD864" s="26"/>
    </row>
    <row r="865" spans="21:30" ht="20.25" customHeight="1" x14ac:dyDescent="0.25">
      <c r="U865" s="17"/>
      <c r="AD865" s="26"/>
    </row>
    <row r="866" spans="21:30" ht="20.25" customHeight="1" x14ac:dyDescent="0.25">
      <c r="U866" s="17"/>
      <c r="AD866" s="26"/>
    </row>
    <row r="867" spans="21:30" ht="20.25" customHeight="1" x14ac:dyDescent="0.25">
      <c r="U867" s="17"/>
      <c r="AD867" s="26"/>
    </row>
    <row r="868" spans="21:30" ht="20.25" customHeight="1" x14ac:dyDescent="0.25">
      <c r="U868" s="17"/>
      <c r="AD868" s="26"/>
    </row>
    <row r="869" spans="21:30" ht="20.25" customHeight="1" x14ac:dyDescent="0.25">
      <c r="U869" s="17"/>
      <c r="AD869" s="26"/>
    </row>
    <row r="870" spans="21:30" ht="20.25" customHeight="1" x14ac:dyDescent="0.25">
      <c r="U870" s="17"/>
      <c r="AD870" s="26"/>
    </row>
    <row r="871" spans="21:30" ht="20.25" customHeight="1" x14ac:dyDescent="0.25">
      <c r="U871" s="17"/>
      <c r="AD871" s="26"/>
    </row>
    <row r="872" spans="21:30" ht="20.25" customHeight="1" x14ac:dyDescent="0.25">
      <c r="U872" s="17"/>
      <c r="AD872" s="26"/>
    </row>
    <row r="873" spans="21:30" ht="20.25" customHeight="1" x14ac:dyDescent="0.25">
      <c r="U873" s="17"/>
      <c r="AD873" s="26"/>
    </row>
    <row r="874" spans="21:30" ht="20.25" customHeight="1" x14ac:dyDescent="0.25">
      <c r="U874" s="17"/>
      <c r="AD874" s="26"/>
    </row>
    <row r="875" spans="21:30" ht="20.25" customHeight="1" x14ac:dyDescent="0.25">
      <c r="U875" s="17"/>
      <c r="AD875" s="26"/>
    </row>
    <row r="876" spans="21:30" ht="20.25" customHeight="1" x14ac:dyDescent="0.25">
      <c r="U876" s="17"/>
      <c r="AD876" s="26"/>
    </row>
    <row r="877" spans="21:30" ht="20.25" customHeight="1" x14ac:dyDescent="0.25">
      <c r="U877" s="17"/>
      <c r="AD877" s="26"/>
    </row>
    <row r="878" spans="21:30" ht="20.25" customHeight="1" x14ac:dyDescent="0.25">
      <c r="U878" s="17"/>
      <c r="AD878" s="26"/>
    </row>
    <row r="879" spans="21:30" ht="20.25" customHeight="1" x14ac:dyDescent="0.25">
      <c r="U879" s="17"/>
      <c r="AD879" s="26"/>
    </row>
    <row r="880" spans="21:30" ht="20.25" customHeight="1" x14ac:dyDescent="0.25">
      <c r="U880" s="17"/>
      <c r="AD880" s="26"/>
    </row>
    <row r="881" spans="21:30" ht="20.25" customHeight="1" x14ac:dyDescent="0.25">
      <c r="U881" s="17"/>
      <c r="AD881" s="26"/>
    </row>
    <row r="882" spans="21:30" ht="20.25" customHeight="1" x14ac:dyDescent="0.25">
      <c r="U882" s="17"/>
      <c r="AD882" s="26"/>
    </row>
    <row r="883" spans="21:30" ht="20.25" customHeight="1" x14ac:dyDescent="0.25">
      <c r="U883" s="17"/>
      <c r="AD883" s="26"/>
    </row>
    <row r="884" spans="21:30" ht="20.25" customHeight="1" x14ac:dyDescent="0.25">
      <c r="U884" s="17"/>
      <c r="AD884" s="26"/>
    </row>
    <row r="885" spans="21:30" ht="20.25" customHeight="1" x14ac:dyDescent="0.25">
      <c r="U885" s="17"/>
      <c r="AD885" s="26"/>
    </row>
    <row r="886" spans="21:30" ht="20.25" customHeight="1" x14ac:dyDescent="0.25">
      <c r="U886" s="17"/>
      <c r="AD886" s="26"/>
    </row>
    <row r="887" spans="21:30" ht="20.25" customHeight="1" x14ac:dyDescent="0.25">
      <c r="U887" s="17"/>
      <c r="AD887" s="26"/>
    </row>
    <row r="888" spans="21:30" ht="20.25" customHeight="1" x14ac:dyDescent="0.25">
      <c r="U888" s="17"/>
      <c r="AD888" s="26"/>
    </row>
    <row r="889" spans="21:30" ht="20.25" customHeight="1" x14ac:dyDescent="0.25">
      <c r="U889" s="17"/>
      <c r="AD889" s="26"/>
    </row>
    <row r="890" spans="21:30" ht="20.25" customHeight="1" x14ac:dyDescent="0.25">
      <c r="U890" s="17"/>
      <c r="AD890" s="26"/>
    </row>
    <row r="891" spans="21:30" ht="20.25" customHeight="1" x14ac:dyDescent="0.25">
      <c r="U891" s="17"/>
      <c r="AD891" s="26"/>
    </row>
    <row r="892" spans="21:30" ht="20.25" customHeight="1" x14ac:dyDescent="0.25">
      <c r="U892" s="17"/>
      <c r="AD892" s="26"/>
    </row>
    <row r="893" spans="21:30" ht="20.25" customHeight="1" x14ac:dyDescent="0.25">
      <c r="U893" s="17"/>
      <c r="AD893" s="26"/>
    </row>
    <row r="894" spans="21:30" ht="20.25" customHeight="1" x14ac:dyDescent="0.25">
      <c r="U894" s="17"/>
      <c r="AD894" s="26"/>
    </row>
    <row r="895" spans="21:30" ht="20.25" customHeight="1" x14ac:dyDescent="0.25">
      <c r="U895" s="17"/>
      <c r="AD895" s="26"/>
    </row>
    <row r="896" spans="21:30" ht="20.25" customHeight="1" x14ac:dyDescent="0.25">
      <c r="U896" s="17"/>
      <c r="AD896" s="26"/>
    </row>
    <row r="897" spans="21:30" ht="20.25" customHeight="1" x14ac:dyDescent="0.25">
      <c r="U897" s="17"/>
      <c r="AD897" s="26"/>
    </row>
    <row r="898" spans="21:30" ht="20.25" customHeight="1" x14ac:dyDescent="0.25">
      <c r="U898" s="17"/>
      <c r="AD898" s="26"/>
    </row>
    <row r="899" spans="21:30" ht="20.25" customHeight="1" x14ac:dyDescent="0.25">
      <c r="U899" s="17"/>
      <c r="AD899" s="26"/>
    </row>
    <row r="900" spans="21:30" ht="20.25" customHeight="1" x14ac:dyDescent="0.25">
      <c r="U900" s="17"/>
      <c r="AD900" s="26"/>
    </row>
    <row r="901" spans="21:30" ht="20.25" customHeight="1" x14ac:dyDescent="0.25">
      <c r="U901" s="17"/>
      <c r="AD901" s="26"/>
    </row>
    <row r="902" spans="21:30" ht="20.25" customHeight="1" x14ac:dyDescent="0.25">
      <c r="U902" s="17"/>
      <c r="AD902" s="26"/>
    </row>
    <row r="903" spans="21:30" ht="20.25" customHeight="1" x14ac:dyDescent="0.25">
      <c r="U903" s="17"/>
      <c r="AD903" s="26"/>
    </row>
    <row r="904" spans="21:30" ht="20.25" customHeight="1" x14ac:dyDescent="0.25">
      <c r="U904" s="17"/>
      <c r="AD904" s="26"/>
    </row>
    <row r="905" spans="21:30" ht="20.25" customHeight="1" x14ac:dyDescent="0.25">
      <c r="U905" s="17"/>
      <c r="AD905" s="26"/>
    </row>
    <row r="906" spans="21:30" ht="20.25" customHeight="1" x14ac:dyDescent="0.25">
      <c r="U906" s="17"/>
      <c r="AD906" s="26"/>
    </row>
    <row r="907" spans="21:30" ht="20.25" customHeight="1" x14ac:dyDescent="0.25">
      <c r="U907" s="17"/>
      <c r="AD907" s="26"/>
    </row>
    <row r="908" spans="21:30" ht="20.25" customHeight="1" x14ac:dyDescent="0.25">
      <c r="U908" s="17"/>
      <c r="AD908" s="26"/>
    </row>
    <row r="909" spans="21:30" ht="20.25" customHeight="1" x14ac:dyDescent="0.25">
      <c r="U909" s="17"/>
      <c r="AD909" s="26"/>
    </row>
    <row r="910" spans="21:30" ht="20.25" customHeight="1" x14ac:dyDescent="0.25">
      <c r="U910" s="17"/>
      <c r="AD910" s="26"/>
    </row>
    <row r="911" spans="21:30" ht="20.25" customHeight="1" x14ac:dyDescent="0.25">
      <c r="U911" s="17"/>
      <c r="AD911" s="26"/>
    </row>
    <row r="912" spans="21:30" ht="20.25" customHeight="1" x14ac:dyDescent="0.25">
      <c r="U912" s="17"/>
      <c r="AD912" s="26"/>
    </row>
    <row r="913" spans="21:30" ht="20.25" customHeight="1" x14ac:dyDescent="0.25">
      <c r="U913" s="17"/>
      <c r="AD913" s="26"/>
    </row>
    <row r="914" spans="21:30" ht="20.25" customHeight="1" x14ac:dyDescent="0.25">
      <c r="U914" s="17"/>
      <c r="AD914" s="26"/>
    </row>
    <row r="915" spans="21:30" ht="20.25" customHeight="1" x14ac:dyDescent="0.25">
      <c r="U915" s="17"/>
      <c r="AD915" s="26"/>
    </row>
    <row r="916" spans="21:30" ht="20.25" customHeight="1" x14ac:dyDescent="0.25">
      <c r="U916" s="17"/>
      <c r="AD916" s="26"/>
    </row>
    <row r="917" spans="21:30" ht="20.25" customHeight="1" x14ac:dyDescent="0.25">
      <c r="U917" s="17"/>
      <c r="AD917" s="26"/>
    </row>
    <row r="918" spans="21:30" ht="20.25" customHeight="1" x14ac:dyDescent="0.25">
      <c r="U918" s="17"/>
      <c r="AD918" s="26"/>
    </row>
    <row r="919" spans="21:30" ht="20.25" customHeight="1" x14ac:dyDescent="0.25">
      <c r="U919" s="17"/>
      <c r="AD919" s="26"/>
    </row>
    <row r="920" spans="21:30" ht="20.25" customHeight="1" x14ac:dyDescent="0.25">
      <c r="U920" s="17"/>
      <c r="AD920" s="26"/>
    </row>
    <row r="921" spans="21:30" ht="20.25" customHeight="1" x14ac:dyDescent="0.25">
      <c r="U921" s="17"/>
      <c r="AD921" s="26"/>
    </row>
    <row r="922" spans="21:30" ht="20.25" customHeight="1" x14ac:dyDescent="0.25">
      <c r="U922" s="17"/>
      <c r="AD922" s="26"/>
    </row>
    <row r="923" spans="21:30" ht="20.25" customHeight="1" x14ac:dyDescent="0.25">
      <c r="U923" s="17"/>
      <c r="AD923" s="26"/>
    </row>
    <row r="924" spans="21:30" ht="20.25" customHeight="1" x14ac:dyDescent="0.25">
      <c r="U924" s="17"/>
      <c r="AD924" s="26"/>
    </row>
    <row r="925" spans="21:30" ht="20.25" customHeight="1" x14ac:dyDescent="0.25">
      <c r="U925" s="17"/>
      <c r="AD925" s="26"/>
    </row>
    <row r="926" spans="21:30" ht="20.25" customHeight="1" x14ac:dyDescent="0.25">
      <c r="U926" s="17"/>
      <c r="AD926" s="26"/>
    </row>
    <row r="927" spans="21:30" ht="20.25" customHeight="1" x14ac:dyDescent="0.25">
      <c r="U927" s="17"/>
      <c r="AD927" s="26"/>
    </row>
    <row r="928" spans="21:30" ht="20.25" customHeight="1" x14ac:dyDescent="0.25">
      <c r="U928" s="17"/>
      <c r="AD928" s="26"/>
    </row>
    <row r="929" spans="21:30" ht="20.25" customHeight="1" x14ac:dyDescent="0.25">
      <c r="U929" s="17"/>
      <c r="AD929" s="26"/>
    </row>
    <row r="930" spans="21:30" ht="20.25" customHeight="1" x14ac:dyDescent="0.25">
      <c r="U930" s="17"/>
      <c r="AD930" s="26"/>
    </row>
    <row r="931" spans="21:30" ht="20.25" customHeight="1" x14ac:dyDescent="0.25">
      <c r="U931" s="17"/>
      <c r="AD931" s="26"/>
    </row>
    <row r="932" spans="21:30" ht="20.25" customHeight="1" x14ac:dyDescent="0.25">
      <c r="U932" s="17"/>
      <c r="AD932" s="26"/>
    </row>
    <row r="933" spans="21:30" ht="20.25" customHeight="1" x14ac:dyDescent="0.25">
      <c r="U933" s="17"/>
      <c r="AD933" s="26"/>
    </row>
    <row r="934" spans="21:30" ht="20.25" customHeight="1" x14ac:dyDescent="0.25">
      <c r="U934" s="17"/>
      <c r="AD934" s="26"/>
    </row>
    <row r="935" spans="21:30" ht="20.25" customHeight="1" x14ac:dyDescent="0.25">
      <c r="U935" s="17"/>
      <c r="AD935" s="26"/>
    </row>
    <row r="936" spans="21:30" ht="20.25" customHeight="1" x14ac:dyDescent="0.25">
      <c r="U936" s="17"/>
      <c r="AD936" s="26"/>
    </row>
    <row r="937" spans="21:30" ht="20.25" customHeight="1" x14ac:dyDescent="0.25">
      <c r="U937" s="17"/>
      <c r="AD937" s="26"/>
    </row>
    <row r="938" spans="21:30" ht="20.25" customHeight="1" x14ac:dyDescent="0.25">
      <c r="U938" s="17"/>
      <c r="AD938" s="26"/>
    </row>
    <row r="939" spans="21:30" ht="20.25" customHeight="1" x14ac:dyDescent="0.25">
      <c r="U939" s="17"/>
      <c r="AD939" s="26"/>
    </row>
    <row r="940" spans="21:30" ht="20.25" customHeight="1" x14ac:dyDescent="0.25">
      <c r="U940" s="17"/>
      <c r="AD940" s="26"/>
    </row>
    <row r="941" spans="21:30" ht="20.25" customHeight="1" x14ac:dyDescent="0.25">
      <c r="U941" s="17"/>
      <c r="AD941" s="26"/>
    </row>
    <row r="942" spans="21:30" ht="20.25" customHeight="1" x14ac:dyDescent="0.25">
      <c r="U942" s="17"/>
      <c r="AD942" s="26"/>
    </row>
    <row r="943" spans="21:30" ht="20.25" customHeight="1" x14ac:dyDescent="0.25">
      <c r="U943" s="17"/>
      <c r="AD943" s="26"/>
    </row>
    <row r="944" spans="21:30" ht="20.25" customHeight="1" x14ac:dyDescent="0.25">
      <c r="U944" s="17"/>
      <c r="AD944" s="26"/>
    </row>
    <row r="945" spans="21:30" ht="20.25" customHeight="1" x14ac:dyDescent="0.25">
      <c r="U945" s="17"/>
      <c r="AD945" s="26"/>
    </row>
    <row r="946" spans="21:30" ht="20.25" customHeight="1" x14ac:dyDescent="0.25">
      <c r="U946" s="17"/>
      <c r="AD946" s="26"/>
    </row>
    <row r="947" spans="21:30" ht="20.25" customHeight="1" x14ac:dyDescent="0.25">
      <c r="U947" s="17"/>
      <c r="AD947" s="26"/>
    </row>
    <row r="948" spans="21:30" ht="20.25" customHeight="1" x14ac:dyDescent="0.25">
      <c r="U948" s="17"/>
      <c r="AD948" s="26"/>
    </row>
    <row r="949" spans="21:30" ht="20.25" customHeight="1" x14ac:dyDescent="0.25">
      <c r="U949" s="17"/>
      <c r="AD949" s="26"/>
    </row>
    <row r="950" spans="21:30" ht="20.25" customHeight="1" x14ac:dyDescent="0.25">
      <c r="U950" s="17"/>
      <c r="AD950" s="26"/>
    </row>
    <row r="951" spans="21:30" ht="20.25" customHeight="1" x14ac:dyDescent="0.25">
      <c r="U951" s="17"/>
      <c r="AD951" s="26"/>
    </row>
    <row r="952" spans="21:30" ht="20.25" customHeight="1" x14ac:dyDescent="0.25">
      <c r="U952" s="17"/>
      <c r="AD952" s="26"/>
    </row>
    <row r="953" spans="21:30" ht="20.25" customHeight="1" x14ac:dyDescent="0.25">
      <c r="U953" s="17"/>
      <c r="AD953" s="26"/>
    </row>
    <row r="954" spans="21:30" ht="20.25" customHeight="1" x14ac:dyDescent="0.25">
      <c r="U954" s="17"/>
      <c r="AD954" s="26"/>
    </row>
    <row r="955" spans="21:30" ht="20.25" customHeight="1" x14ac:dyDescent="0.25">
      <c r="U955" s="17"/>
      <c r="AD955" s="26"/>
    </row>
    <row r="956" spans="21:30" ht="20.25" customHeight="1" x14ac:dyDescent="0.25">
      <c r="U956" s="17"/>
      <c r="AD956" s="26"/>
    </row>
    <row r="957" spans="21:30" ht="20.25" customHeight="1" x14ac:dyDescent="0.25">
      <c r="U957" s="17"/>
      <c r="AD957" s="26"/>
    </row>
    <row r="958" spans="21:30" ht="20.25" customHeight="1" x14ac:dyDescent="0.25">
      <c r="U958" s="17"/>
      <c r="AD958" s="26"/>
    </row>
    <row r="959" spans="21:30" ht="20.25" customHeight="1" x14ac:dyDescent="0.25">
      <c r="U959" s="17"/>
      <c r="AD959" s="26"/>
    </row>
    <row r="960" spans="21:30" ht="20.25" customHeight="1" x14ac:dyDescent="0.25">
      <c r="U960" s="17"/>
      <c r="AD960" s="26"/>
    </row>
    <row r="961" spans="21:30" ht="20.25" customHeight="1" x14ac:dyDescent="0.25">
      <c r="U961" s="17"/>
      <c r="AD961" s="26"/>
    </row>
    <row r="962" spans="21:30" ht="20.25" customHeight="1" x14ac:dyDescent="0.25">
      <c r="U962" s="17"/>
      <c r="AD962" s="26"/>
    </row>
    <row r="963" spans="21:30" ht="20.25" customHeight="1" x14ac:dyDescent="0.25">
      <c r="U963" s="17"/>
      <c r="AD963" s="26"/>
    </row>
    <row r="964" spans="21:30" ht="20.25" customHeight="1" x14ac:dyDescent="0.25">
      <c r="U964" s="17"/>
      <c r="AD964" s="26"/>
    </row>
    <row r="965" spans="21:30" ht="20.25" customHeight="1" x14ac:dyDescent="0.25">
      <c r="U965" s="17"/>
      <c r="AD965" s="26"/>
    </row>
    <row r="966" spans="21:30" ht="20.25" customHeight="1" x14ac:dyDescent="0.25">
      <c r="U966" s="17"/>
      <c r="AD966" s="26"/>
    </row>
    <row r="967" spans="21:30" ht="20.25" customHeight="1" x14ac:dyDescent="0.25">
      <c r="U967" s="17"/>
      <c r="AD967" s="26"/>
    </row>
    <row r="968" spans="21:30" ht="20.25" customHeight="1" x14ac:dyDescent="0.25">
      <c r="U968" s="17"/>
      <c r="AD968" s="26"/>
    </row>
    <row r="969" spans="21:30" ht="20.25" customHeight="1" x14ac:dyDescent="0.25">
      <c r="U969" s="17"/>
      <c r="AD969" s="26"/>
    </row>
    <row r="970" spans="21:30" ht="20.25" customHeight="1" x14ac:dyDescent="0.25">
      <c r="U970" s="17"/>
      <c r="AD970" s="26"/>
    </row>
    <row r="971" spans="21:30" ht="20.25" customHeight="1" x14ac:dyDescent="0.25">
      <c r="U971" s="17"/>
      <c r="AD971" s="26"/>
    </row>
    <row r="972" spans="21:30" ht="20.25" customHeight="1" x14ac:dyDescent="0.25">
      <c r="U972" s="17"/>
      <c r="AD972" s="26"/>
    </row>
    <row r="973" spans="21:30" ht="20.25" customHeight="1" x14ac:dyDescent="0.25">
      <c r="U973" s="17"/>
      <c r="AD973" s="26"/>
    </row>
    <row r="974" spans="21:30" ht="20.25" customHeight="1" x14ac:dyDescent="0.25">
      <c r="U974" s="17"/>
      <c r="AD974" s="26"/>
    </row>
    <row r="975" spans="21:30" ht="20.25" customHeight="1" x14ac:dyDescent="0.25">
      <c r="U975" s="17"/>
      <c r="AD975" s="26"/>
    </row>
    <row r="976" spans="21:30" ht="20.25" customHeight="1" x14ac:dyDescent="0.25">
      <c r="U976" s="17"/>
      <c r="AD976" s="26"/>
    </row>
    <row r="977" spans="21:30" ht="20.25" customHeight="1" x14ac:dyDescent="0.25">
      <c r="U977" s="17"/>
      <c r="AD977" s="26"/>
    </row>
    <row r="978" spans="21:30" ht="20.25" customHeight="1" x14ac:dyDescent="0.25">
      <c r="U978" s="17"/>
      <c r="AD978" s="26"/>
    </row>
    <row r="979" spans="21:30" ht="20.25" customHeight="1" x14ac:dyDescent="0.25">
      <c r="U979" s="17"/>
      <c r="AD979" s="26"/>
    </row>
    <row r="980" spans="21:30" ht="20.25" customHeight="1" x14ac:dyDescent="0.25">
      <c r="U980" s="17"/>
      <c r="AD980" s="26"/>
    </row>
    <row r="981" spans="21:30" ht="20.25" customHeight="1" x14ac:dyDescent="0.25">
      <c r="U981" s="17"/>
      <c r="AD981" s="26"/>
    </row>
    <row r="982" spans="21:30" ht="20.25" customHeight="1" x14ac:dyDescent="0.25">
      <c r="U982" s="17"/>
      <c r="AD982" s="26"/>
    </row>
    <row r="983" spans="21:30" ht="20.25" customHeight="1" x14ac:dyDescent="0.25">
      <c r="U983" s="17"/>
      <c r="AD983" s="26"/>
    </row>
    <row r="984" spans="21:30" ht="20.25" customHeight="1" x14ac:dyDescent="0.25">
      <c r="U984" s="17"/>
      <c r="AD984" s="26"/>
    </row>
    <row r="985" spans="21:30" ht="20.25" customHeight="1" x14ac:dyDescent="0.25">
      <c r="U985" s="17"/>
      <c r="AD985" s="26"/>
    </row>
    <row r="986" spans="21:30" ht="20.25" customHeight="1" x14ac:dyDescent="0.25">
      <c r="U986" s="17"/>
      <c r="AD986" s="26"/>
    </row>
    <row r="987" spans="21:30" ht="20.25" customHeight="1" x14ac:dyDescent="0.25">
      <c r="U987" s="17"/>
      <c r="AD987" s="26"/>
    </row>
    <row r="988" spans="21:30" ht="20.25" customHeight="1" x14ac:dyDescent="0.25">
      <c r="U988" s="17"/>
      <c r="AD988" s="26"/>
    </row>
    <row r="989" spans="21:30" ht="20.25" customHeight="1" x14ac:dyDescent="0.25">
      <c r="U989" s="17"/>
      <c r="AD989" s="26"/>
    </row>
    <row r="990" spans="21:30" ht="20.25" customHeight="1" x14ac:dyDescent="0.25">
      <c r="U990" s="17"/>
      <c r="AD990" s="26"/>
    </row>
    <row r="991" spans="21:30" ht="20.25" customHeight="1" x14ac:dyDescent="0.25">
      <c r="U991" s="17"/>
      <c r="AD991" s="26"/>
    </row>
    <row r="992" spans="21:30" ht="20.25" customHeight="1" x14ac:dyDescent="0.25">
      <c r="U992" s="17"/>
      <c r="AD992" s="26"/>
    </row>
    <row r="993" spans="21:30" ht="20.25" customHeight="1" x14ac:dyDescent="0.25">
      <c r="U993" s="17"/>
      <c r="AD993" s="26"/>
    </row>
    <row r="994" spans="21:30" ht="20.25" customHeight="1" x14ac:dyDescent="0.25">
      <c r="U994" s="17"/>
      <c r="AD994" s="26"/>
    </row>
    <row r="995" spans="21:30" ht="20.25" customHeight="1" x14ac:dyDescent="0.25">
      <c r="U995" s="17"/>
      <c r="AD995" s="26"/>
    </row>
    <row r="996" spans="21:30" ht="20.25" customHeight="1" x14ac:dyDescent="0.25">
      <c r="U996" s="17"/>
      <c r="AD996" s="26"/>
    </row>
    <row r="997" spans="21:30" ht="20.25" customHeight="1" x14ac:dyDescent="0.25">
      <c r="U997" s="17"/>
      <c r="AD997" s="26"/>
    </row>
    <row r="998" spans="21:30" ht="20.25" customHeight="1" x14ac:dyDescent="0.25">
      <c r="U998" s="17"/>
      <c r="AD998" s="26"/>
    </row>
    <row r="999" spans="21:30" ht="20.25" customHeight="1" x14ac:dyDescent="0.25">
      <c r="U999" s="17"/>
      <c r="AD999" s="26"/>
    </row>
    <row r="1000" spans="21:30" ht="20.25" customHeight="1" x14ac:dyDescent="0.25">
      <c r="U1000" s="17"/>
      <c r="AD1000" s="26"/>
    </row>
    <row r="1001" spans="21:30" ht="20.25" customHeight="1" x14ac:dyDescent="0.25">
      <c r="U1001" s="17"/>
      <c r="AD1001" s="26"/>
    </row>
    <row r="1002" spans="21:30" ht="20.25" customHeight="1" x14ac:dyDescent="0.25">
      <c r="U1002" s="17"/>
      <c r="AD1002" s="26"/>
    </row>
    <row r="1003" spans="21:30" ht="20.25" customHeight="1" x14ac:dyDescent="0.25">
      <c r="U1003" s="17"/>
      <c r="AD1003" s="26"/>
    </row>
    <row r="1004" spans="21:30" ht="20.25" customHeight="1" x14ac:dyDescent="0.25">
      <c r="U1004" s="17"/>
      <c r="AD1004" s="26"/>
    </row>
    <row r="1005" spans="21:30" ht="20.25" customHeight="1" x14ac:dyDescent="0.25">
      <c r="U1005" s="17"/>
      <c r="AD1005" s="26"/>
    </row>
    <row r="1006" spans="21:30" ht="20.25" customHeight="1" x14ac:dyDescent="0.25">
      <c r="U1006" s="17"/>
      <c r="AD1006" s="26"/>
    </row>
    <row r="1007" spans="21:30" ht="20.25" customHeight="1" x14ac:dyDescent="0.25">
      <c r="U1007" s="17"/>
      <c r="AD1007" s="26"/>
    </row>
    <row r="1008" spans="21:30" ht="20.25" customHeight="1" x14ac:dyDescent="0.25">
      <c r="U1008" s="17"/>
      <c r="AD1008" s="26"/>
    </row>
    <row r="1009" spans="21:30" ht="20.25" customHeight="1" x14ac:dyDescent="0.25">
      <c r="U1009" s="17"/>
      <c r="AD1009" s="26"/>
    </row>
    <row r="1010" spans="21:30" ht="20.25" customHeight="1" x14ac:dyDescent="0.25">
      <c r="U1010" s="17"/>
      <c r="AD1010" s="26"/>
    </row>
    <row r="1011" spans="21:30" ht="20.25" customHeight="1" x14ac:dyDescent="0.25">
      <c r="U1011" s="17"/>
      <c r="AD1011" s="26"/>
    </row>
    <row r="1012" spans="21:30" ht="20.25" customHeight="1" x14ac:dyDescent="0.25">
      <c r="U1012" s="17"/>
      <c r="AD1012" s="26"/>
    </row>
    <row r="1013" spans="21:30" ht="20.25" customHeight="1" x14ac:dyDescent="0.25">
      <c r="U1013" s="17"/>
      <c r="AD1013" s="26"/>
    </row>
    <row r="1014" spans="21:30" ht="20.25" customHeight="1" x14ac:dyDescent="0.25">
      <c r="U1014" s="17"/>
      <c r="AD1014" s="26"/>
    </row>
    <row r="1015" spans="21:30" ht="20.25" customHeight="1" x14ac:dyDescent="0.25">
      <c r="U1015" s="17"/>
      <c r="AD1015" s="26"/>
    </row>
    <row r="1016" spans="21:30" ht="20.25" customHeight="1" x14ac:dyDescent="0.25">
      <c r="U1016" s="17"/>
      <c r="AD1016" s="26"/>
    </row>
    <row r="1017" spans="21:30" ht="20.25" customHeight="1" x14ac:dyDescent="0.25">
      <c r="U1017" s="17"/>
      <c r="AD1017" s="26"/>
    </row>
    <row r="1018" spans="21:30" ht="20.25" customHeight="1" x14ac:dyDescent="0.25">
      <c r="U1018" s="17"/>
      <c r="AD1018" s="26"/>
    </row>
    <row r="1019" spans="21:30" ht="20.25" customHeight="1" x14ac:dyDescent="0.25">
      <c r="U1019" s="17"/>
      <c r="AD1019" s="26"/>
    </row>
    <row r="1020" spans="21:30" ht="20.25" customHeight="1" x14ac:dyDescent="0.25">
      <c r="U1020" s="17"/>
      <c r="AD1020" s="26"/>
    </row>
    <row r="1021" spans="21:30" ht="20.25" customHeight="1" x14ac:dyDescent="0.25">
      <c r="U1021" s="17"/>
      <c r="AD1021" s="26"/>
    </row>
    <row r="1022" spans="21:30" ht="20.25" customHeight="1" x14ac:dyDescent="0.25">
      <c r="U1022" s="17"/>
      <c r="AD1022" s="26"/>
    </row>
    <row r="1023" spans="21:30" ht="20.25" customHeight="1" x14ac:dyDescent="0.25">
      <c r="U1023" s="17"/>
      <c r="AD1023" s="26"/>
    </row>
    <row r="1024" spans="21:30" ht="20.25" customHeight="1" x14ac:dyDescent="0.25">
      <c r="U1024" s="17"/>
      <c r="AD1024" s="26"/>
    </row>
    <row r="1025" spans="21:30" ht="20.25" customHeight="1" x14ac:dyDescent="0.25">
      <c r="U1025" s="17"/>
      <c r="AD1025" s="26"/>
    </row>
    <row r="1026" spans="21:30" ht="20.25" customHeight="1" x14ac:dyDescent="0.25">
      <c r="U1026" s="17"/>
      <c r="AD1026" s="26"/>
    </row>
    <row r="1027" spans="21:30" ht="20.25" customHeight="1" x14ac:dyDescent="0.25">
      <c r="U1027" s="17"/>
      <c r="AD1027" s="26"/>
    </row>
    <row r="1028" spans="21:30" ht="20.25" customHeight="1" x14ac:dyDescent="0.25">
      <c r="U1028" s="17"/>
      <c r="AD1028" s="26"/>
    </row>
    <row r="1029" spans="21:30" ht="20.25" customHeight="1" x14ac:dyDescent="0.25">
      <c r="U1029" s="17"/>
      <c r="AD1029" s="26"/>
    </row>
    <row r="1030" spans="21:30" ht="20.25" customHeight="1" x14ac:dyDescent="0.25">
      <c r="U1030" s="17"/>
      <c r="AD1030" s="26"/>
    </row>
    <row r="1031" spans="21:30" ht="20.25" customHeight="1" x14ac:dyDescent="0.25">
      <c r="U1031" s="17"/>
      <c r="AD1031" s="26"/>
    </row>
    <row r="1032" spans="21:30" ht="20.25" customHeight="1" x14ac:dyDescent="0.25">
      <c r="U1032" s="17"/>
      <c r="AD1032" s="26"/>
    </row>
    <row r="1033" spans="21:30" ht="20.25" customHeight="1" x14ac:dyDescent="0.25">
      <c r="U1033" s="17"/>
      <c r="AD1033" s="26"/>
    </row>
    <row r="1034" spans="21:30" ht="20.25" customHeight="1" x14ac:dyDescent="0.25">
      <c r="U1034" s="17"/>
      <c r="AD1034" s="26"/>
    </row>
    <row r="1035" spans="21:30" ht="20.25" customHeight="1" x14ac:dyDescent="0.25">
      <c r="U1035" s="17"/>
      <c r="AD1035" s="26"/>
    </row>
    <row r="1036" spans="21:30" ht="20.25" customHeight="1" x14ac:dyDescent="0.25">
      <c r="U1036" s="17"/>
      <c r="AD1036" s="26"/>
    </row>
    <row r="1037" spans="21:30" ht="20.25" customHeight="1" x14ac:dyDescent="0.25">
      <c r="U1037" s="17"/>
      <c r="AD1037" s="26"/>
    </row>
    <row r="1038" spans="21:30" ht="20.25" customHeight="1" x14ac:dyDescent="0.25">
      <c r="U1038" s="17"/>
      <c r="AD1038" s="26"/>
    </row>
    <row r="1039" spans="21:30" ht="20.25" customHeight="1" x14ac:dyDescent="0.25">
      <c r="U1039" s="17"/>
      <c r="AD1039" s="26"/>
    </row>
    <row r="1040" spans="21:30" ht="20.25" customHeight="1" x14ac:dyDescent="0.25">
      <c r="U1040" s="17"/>
      <c r="AD1040" s="26"/>
    </row>
    <row r="1041" spans="21:30" ht="20.25" customHeight="1" x14ac:dyDescent="0.25">
      <c r="U1041" s="17"/>
      <c r="AD1041" s="26"/>
    </row>
    <row r="1042" spans="21:30" ht="20.25" customHeight="1" x14ac:dyDescent="0.25">
      <c r="U1042" s="17"/>
      <c r="AD1042" s="26"/>
    </row>
    <row r="1043" spans="21:30" ht="20.25" customHeight="1" x14ac:dyDescent="0.25">
      <c r="U1043" s="17"/>
      <c r="AD1043" s="26"/>
    </row>
    <row r="1044" spans="21:30" ht="20.25" customHeight="1" x14ac:dyDescent="0.25">
      <c r="U1044" s="17"/>
      <c r="AD1044" s="26"/>
    </row>
    <row r="1045" spans="21:30" ht="20.25" customHeight="1" x14ac:dyDescent="0.25">
      <c r="U1045" s="17"/>
      <c r="AD1045" s="26"/>
    </row>
    <row r="1046" spans="21:30" ht="20.25" customHeight="1" x14ac:dyDescent="0.25">
      <c r="U1046" s="17"/>
      <c r="AD1046" s="26"/>
    </row>
    <row r="1047" spans="21:30" ht="20.25" customHeight="1" x14ac:dyDescent="0.25">
      <c r="U1047" s="17"/>
      <c r="AD1047" s="26"/>
    </row>
    <row r="1048" spans="21:30" ht="20.25" customHeight="1" x14ac:dyDescent="0.25">
      <c r="U1048" s="17"/>
      <c r="AD1048" s="26"/>
    </row>
    <row r="1049" spans="21:30" ht="20.25" customHeight="1" x14ac:dyDescent="0.25">
      <c r="U1049" s="17"/>
      <c r="AD1049" s="26"/>
    </row>
    <row r="1050" spans="21:30" ht="20.25" customHeight="1" x14ac:dyDescent="0.25">
      <c r="U1050" s="17"/>
      <c r="AD1050" s="26"/>
    </row>
    <row r="1051" spans="21:30" ht="20.25" customHeight="1" x14ac:dyDescent="0.25">
      <c r="U1051" s="17"/>
      <c r="AD1051" s="26"/>
    </row>
    <row r="1052" spans="21:30" ht="20.25" customHeight="1" x14ac:dyDescent="0.25">
      <c r="U1052" s="17"/>
      <c r="AD1052" s="26"/>
    </row>
    <row r="1053" spans="21:30" ht="20.25" customHeight="1" x14ac:dyDescent="0.25">
      <c r="U1053" s="17"/>
      <c r="AD1053" s="26"/>
    </row>
    <row r="1054" spans="21:30" ht="20.25" customHeight="1" x14ac:dyDescent="0.25">
      <c r="U1054" s="17"/>
      <c r="AD1054" s="26"/>
    </row>
    <row r="1055" spans="21:30" ht="20.25" customHeight="1" x14ac:dyDescent="0.25">
      <c r="U1055" s="17"/>
      <c r="AD1055" s="26"/>
    </row>
    <row r="1056" spans="21:30" ht="20.25" customHeight="1" x14ac:dyDescent="0.25">
      <c r="U1056" s="17"/>
      <c r="AD1056" s="26"/>
    </row>
    <row r="1057" spans="21:30" ht="20.25" customHeight="1" x14ac:dyDescent="0.25">
      <c r="U1057" s="17"/>
      <c r="AD1057" s="26"/>
    </row>
    <row r="1058" spans="21:30" ht="20.25" customHeight="1" x14ac:dyDescent="0.25">
      <c r="U1058" s="17"/>
      <c r="AD1058" s="26"/>
    </row>
    <row r="1059" spans="21:30" ht="20.25" customHeight="1" x14ac:dyDescent="0.25">
      <c r="U1059" s="17"/>
      <c r="AD1059" s="26"/>
    </row>
    <row r="1060" spans="21:30" ht="20.25" customHeight="1" x14ac:dyDescent="0.25">
      <c r="U1060" s="17"/>
      <c r="AD1060" s="26"/>
    </row>
    <row r="1061" spans="21:30" ht="20.25" customHeight="1" x14ac:dyDescent="0.25">
      <c r="U1061" s="17"/>
      <c r="AD1061" s="26"/>
    </row>
    <row r="1062" spans="21:30" ht="20.25" customHeight="1" x14ac:dyDescent="0.25">
      <c r="U1062" s="17"/>
      <c r="AD1062" s="26"/>
    </row>
    <row r="1063" spans="21:30" ht="20.25" customHeight="1" x14ac:dyDescent="0.25">
      <c r="U1063" s="17"/>
      <c r="AD1063" s="26"/>
    </row>
    <row r="1064" spans="21:30" ht="20.25" customHeight="1" x14ac:dyDescent="0.25">
      <c r="U1064" s="17"/>
      <c r="AD1064" s="26"/>
    </row>
    <row r="1065" spans="21:30" ht="20.25" customHeight="1" x14ac:dyDescent="0.25">
      <c r="U1065" s="17"/>
      <c r="AD1065" s="26"/>
    </row>
    <row r="1066" spans="21:30" ht="20.25" customHeight="1" x14ac:dyDescent="0.25">
      <c r="U1066" s="17"/>
      <c r="AD1066" s="26"/>
    </row>
    <row r="1067" spans="21:30" ht="20.25" customHeight="1" x14ac:dyDescent="0.25">
      <c r="U1067" s="17"/>
      <c r="AD1067" s="26"/>
    </row>
    <row r="1068" spans="21:30" ht="20.25" customHeight="1" x14ac:dyDescent="0.25">
      <c r="U1068" s="17"/>
      <c r="AD1068" s="26"/>
    </row>
    <row r="1069" spans="21:30" ht="20.25" customHeight="1" x14ac:dyDescent="0.25">
      <c r="U1069" s="17"/>
      <c r="AD1069" s="26"/>
    </row>
    <row r="1070" spans="21:30" ht="20.25" customHeight="1" x14ac:dyDescent="0.25">
      <c r="U1070" s="17"/>
      <c r="AD1070" s="26"/>
    </row>
    <row r="1071" spans="21:30" ht="20.25" customHeight="1" x14ac:dyDescent="0.25">
      <c r="U1071" s="17"/>
      <c r="AD1071" s="26"/>
    </row>
    <row r="1072" spans="21:30" ht="20.25" customHeight="1" x14ac:dyDescent="0.25">
      <c r="U1072" s="17"/>
      <c r="AD1072" s="26"/>
    </row>
    <row r="1073" spans="21:30" ht="20.25" customHeight="1" x14ac:dyDescent="0.25">
      <c r="U1073" s="17"/>
      <c r="AD1073" s="26"/>
    </row>
    <row r="1074" spans="21:30" ht="20.25" customHeight="1" x14ac:dyDescent="0.25">
      <c r="U1074" s="17"/>
      <c r="AD1074" s="26"/>
    </row>
    <row r="1075" spans="21:30" ht="20.25" customHeight="1" x14ac:dyDescent="0.25">
      <c r="U1075" s="17"/>
      <c r="AD1075" s="26"/>
    </row>
    <row r="1076" spans="21:30" ht="20.25" customHeight="1" x14ac:dyDescent="0.25">
      <c r="U1076" s="17"/>
      <c r="AD1076" s="26"/>
    </row>
    <row r="1077" spans="21:30" ht="20.25" customHeight="1" x14ac:dyDescent="0.25">
      <c r="U1077" s="17"/>
      <c r="AD1077" s="26"/>
    </row>
    <row r="1078" spans="21:30" ht="20.25" customHeight="1" x14ac:dyDescent="0.25">
      <c r="U1078" s="17"/>
      <c r="AD1078" s="26"/>
    </row>
    <row r="1079" spans="21:30" ht="20.25" customHeight="1" x14ac:dyDescent="0.25">
      <c r="U1079" s="17"/>
      <c r="AD1079" s="26"/>
    </row>
    <row r="1080" spans="21:30" ht="20.25" customHeight="1" x14ac:dyDescent="0.25">
      <c r="U1080" s="17"/>
      <c r="AD1080" s="26"/>
    </row>
    <row r="1081" spans="21:30" ht="20.25" customHeight="1" x14ac:dyDescent="0.25">
      <c r="U1081" s="17"/>
      <c r="AD1081" s="26"/>
    </row>
    <row r="1082" spans="21:30" ht="20.25" customHeight="1" x14ac:dyDescent="0.25">
      <c r="U1082" s="17"/>
      <c r="AD1082" s="26"/>
    </row>
    <row r="1083" spans="21:30" ht="20.25" customHeight="1" x14ac:dyDescent="0.25">
      <c r="U1083" s="17"/>
      <c r="AD1083" s="26"/>
    </row>
    <row r="1084" spans="21:30" ht="20.25" customHeight="1" x14ac:dyDescent="0.25">
      <c r="U1084" s="17"/>
      <c r="AD1084" s="26"/>
    </row>
    <row r="1085" spans="21:30" ht="20.25" customHeight="1" x14ac:dyDescent="0.25">
      <c r="U1085" s="17"/>
      <c r="AD1085" s="26"/>
    </row>
    <row r="1086" spans="21:30" ht="20.25" customHeight="1" x14ac:dyDescent="0.25">
      <c r="U1086" s="17"/>
      <c r="AD1086" s="26"/>
    </row>
    <row r="1087" spans="21:30" ht="20.25" customHeight="1" x14ac:dyDescent="0.25">
      <c r="U1087" s="17"/>
      <c r="AD1087" s="26"/>
    </row>
    <row r="1088" spans="21:30" ht="20.25" customHeight="1" x14ac:dyDescent="0.25">
      <c r="U1088" s="17"/>
      <c r="AD1088" s="26"/>
    </row>
    <row r="1089" spans="21:30" ht="20.25" customHeight="1" x14ac:dyDescent="0.25">
      <c r="U1089" s="17"/>
      <c r="AD1089" s="26"/>
    </row>
    <row r="1090" spans="21:30" ht="20.25" customHeight="1" x14ac:dyDescent="0.25">
      <c r="U1090" s="17"/>
      <c r="AD1090" s="26"/>
    </row>
    <row r="1091" spans="21:30" ht="20.25" customHeight="1" x14ac:dyDescent="0.25">
      <c r="U1091" s="17"/>
      <c r="AD1091" s="26"/>
    </row>
    <row r="1092" spans="21:30" ht="20.25" customHeight="1" x14ac:dyDescent="0.25">
      <c r="U1092" s="17"/>
      <c r="AD1092" s="26"/>
    </row>
    <row r="1093" spans="21:30" ht="20.25" customHeight="1" x14ac:dyDescent="0.25">
      <c r="U1093" s="17"/>
      <c r="AD1093" s="26"/>
    </row>
    <row r="1094" spans="21:30" ht="20.25" customHeight="1" x14ac:dyDescent="0.25">
      <c r="U1094" s="17"/>
      <c r="AD1094" s="26"/>
    </row>
    <row r="1095" spans="21:30" ht="20.25" customHeight="1" x14ac:dyDescent="0.25">
      <c r="U1095" s="17"/>
      <c r="AD1095" s="26"/>
    </row>
    <row r="1096" spans="21:30" ht="20.25" customHeight="1" x14ac:dyDescent="0.25">
      <c r="U1096" s="17"/>
      <c r="AD1096" s="26"/>
    </row>
    <row r="1097" spans="21:30" ht="20.25" customHeight="1" x14ac:dyDescent="0.25">
      <c r="U1097" s="17"/>
      <c r="AD1097" s="26"/>
    </row>
    <row r="1098" spans="21:30" ht="20.25" customHeight="1" x14ac:dyDescent="0.25">
      <c r="U1098" s="17"/>
      <c r="AD1098" s="26"/>
    </row>
    <row r="1099" spans="21:30" ht="20.25" customHeight="1" x14ac:dyDescent="0.25">
      <c r="U1099" s="17"/>
      <c r="AD1099" s="26"/>
    </row>
    <row r="1100" spans="21:30" ht="20.25" customHeight="1" x14ac:dyDescent="0.25">
      <c r="U1100" s="17"/>
      <c r="AD1100" s="26"/>
    </row>
    <row r="1101" spans="21:30" ht="20.25" customHeight="1" x14ac:dyDescent="0.25">
      <c r="U1101" s="17"/>
      <c r="AD1101" s="26"/>
    </row>
    <row r="1102" spans="21:30" ht="20.25" customHeight="1" x14ac:dyDescent="0.25">
      <c r="U1102" s="17"/>
      <c r="AD1102" s="26"/>
    </row>
    <row r="1103" spans="21:30" ht="20.25" customHeight="1" x14ac:dyDescent="0.25">
      <c r="U1103" s="17"/>
      <c r="AD1103" s="26"/>
    </row>
    <row r="1104" spans="21:30" ht="20.25" customHeight="1" x14ac:dyDescent="0.25">
      <c r="U1104" s="17"/>
      <c r="AD1104" s="26"/>
    </row>
    <row r="1105" spans="21:30" ht="20.25" customHeight="1" x14ac:dyDescent="0.25">
      <c r="U1105" s="17"/>
      <c r="AD1105" s="26"/>
    </row>
    <row r="1106" spans="21:30" ht="20.25" customHeight="1" x14ac:dyDescent="0.25">
      <c r="U1106" s="17"/>
      <c r="AD1106" s="26"/>
    </row>
    <row r="1107" spans="21:30" ht="20.25" customHeight="1" x14ac:dyDescent="0.25">
      <c r="U1107" s="17"/>
      <c r="AD1107" s="26"/>
    </row>
    <row r="1108" spans="21:30" ht="20.25" customHeight="1" x14ac:dyDescent="0.25">
      <c r="U1108" s="17"/>
      <c r="AD1108" s="26"/>
    </row>
    <row r="1109" spans="21:30" ht="20.25" customHeight="1" x14ac:dyDescent="0.25">
      <c r="U1109" s="17"/>
      <c r="AD1109" s="26"/>
    </row>
    <row r="1110" spans="21:30" ht="20.25" customHeight="1" x14ac:dyDescent="0.25">
      <c r="U1110" s="17"/>
      <c r="AD1110" s="26"/>
    </row>
    <row r="1111" spans="21:30" ht="20.25" customHeight="1" x14ac:dyDescent="0.25">
      <c r="U1111" s="17"/>
      <c r="AD1111" s="26"/>
    </row>
    <row r="1112" spans="21:30" ht="20.25" customHeight="1" x14ac:dyDescent="0.25">
      <c r="U1112" s="17"/>
      <c r="AD1112" s="26"/>
    </row>
    <row r="1113" spans="21:30" ht="20.25" customHeight="1" x14ac:dyDescent="0.25">
      <c r="U1113" s="17"/>
      <c r="AD1113" s="26"/>
    </row>
    <row r="1114" spans="21:30" ht="20.25" customHeight="1" x14ac:dyDescent="0.25">
      <c r="U1114" s="17"/>
      <c r="AD1114" s="26"/>
    </row>
    <row r="1115" spans="21:30" ht="20.25" customHeight="1" x14ac:dyDescent="0.25">
      <c r="U1115" s="17"/>
      <c r="AD1115" s="26"/>
    </row>
    <row r="1116" spans="21:30" ht="20.25" customHeight="1" x14ac:dyDescent="0.25">
      <c r="U1116" s="17"/>
      <c r="AD1116" s="26"/>
    </row>
    <row r="1117" spans="21:30" ht="20.25" customHeight="1" x14ac:dyDescent="0.25">
      <c r="U1117" s="17"/>
      <c r="AD1117" s="26"/>
    </row>
    <row r="1118" spans="21:30" ht="20.25" customHeight="1" x14ac:dyDescent="0.25">
      <c r="U1118" s="17"/>
      <c r="AD1118" s="26"/>
    </row>
    <row r="1119" spans="21:30" ht="20.25" customHeight="1" x14ac:dyDescent="0.25">
      <c r="U1119" s="17"/>
      <c r="AD1119" s="26"/>
    </row>
    <row r="1120" spans="21:30" ht="20.25" customHeight="1" x14ac:dyDescent="0.25">
      <c r="U1120" s="17"/>
      <c r="AD1120" s="26"/>
    </row>
    <row r="1121" spans="21:30" ht="20.25" customHeight="1" x14ac:dyDescent="0.25">
      <c r="U1121" s="17"/>
      <c r="AD1121" s="26"/>
    </row>
    <row r="1122" spans="21:30" ht="20.25" customHeight="1" x14ac:dyDescent="0.25">
      <c r="U1122" s="17"/>
      <c r="AD1122" s="26"/>
    </row>
    <row r="1123" spans="21:30" ht="20.25" customHeight="1" x14ac:dyDescent="0.25">
      <c r="U1123" s="17"/>
      <c r="AD1123" s="26"/>
    </row>
    <row r="1124" spans="21:30" ht="20.25" customHeight="1" x14ac:dyDescent="0.25">
      <c r="U1124" s="17"/>
      <c r="AD1124" s="26"/>
    </row>
    <row r="1125" spans="21:30" ht="20.25" customHeight="1" x14ac:dyDescent="0.25">
      <c r="U1125" s="17"/>
      <c r="AD1125" s="26"/>
    </row>
    <row r="1126" spans="21:30" ht="20.25" customHeight="1" x14ac:dyDescent="0.25">
      <c r="U1126" s="17"/>
      <c r="AD1126" s="26"/>
    </row>
    <row r="1127" spans="21:30" ht="20.25" customHeight="1" x14ac:dyDescent="0.25">
      <c r="U1127" s="17"/>
      <c r="AD1127" s="26"/>
    </row>
    <row r="1128" spans="21:30" ht="20.25" customHeight="1" x14ac:dyDescent="0.25">
      <c r="U1128" s="17"/>
      <c r="AD1128" s="26"/>
    </row>
    <row r="1129" spans="21:30" ht="20.25" customHeight="1" x14ac:dyDescent="0.25">
      <c r="U1129" s="17"/>
      <c r="AD1129" s="26"/>
    </row>
    <row r="1130" spans="21:30" ht="20.25" customHeight="1" x14ac:dyDescent="0.25">
      <c r="U1130" s="17"/>
      <c r="AD1130" s="26"/>
    </row>
    <row r="1131" spans="21:30" ht="20.25" customHeight="1" x14ac:dyDescent="0.25">
      <c r="U1131" s="17"/>
      <c r="AD1131" s="26"/>
    </row>
    <row r="1132" spans="21:30" ht="20.25" customHeight="1" x14ac:dyDescent="0.25">
      <c r="U1132" s="17"/>
      <c r="AD1132" s="26"/>
    </row>
    <row r="1133" spans="21:30" ht="20.25" customHeight="1" x14ac:dyDescent="0.25">
      <c r="U1133" s="17"/>
      <c r="AD1133" s="26"/>
    </row>
    <row r="1134" spans="21:30" ht="20.25" customHeight="1" x14ac:dyDescent="0.25">
      <c r="U1134" s="17"/>
      <c r="AD1134" s="26"/>
    </row>
    <row r="1135" spans="21:30" ht="20.25" customHeight="1" x14ac:dyDescent="0.25">
      <c r="U1135" s="17"/>
      <c r="AD1135" s="26"/>
    </row>
    <row r="1136" spans="21:30" ht="20.25" customHeight="1" x14ac:dyDescent="0.25">
      <c r="U1136" s="17"/>
      <c r="AD1136" s="26"/>
    </row>
    <row r="1137" spans="21:30" ht="20.25" customHeight="1" x14ac:dyDescent="0.25">
      <c r="U1137" s="17"/>
      <c r="AD1137" s="26"/>
    </row>
    <row r="1138" spans="21:30" ht="20.25" customHeight="1" x14ac:dyDescent="0.25">
      <c r="U1138" s="17"/>
      <c r="AD1138" s="26"/>
    </row>
    <row r="1139" spans="21:30" ht="20.25" customHeight="1" x14ac:dyDescent="0.25">
      <c r="U1139" s="17"/>
      <c r="AD1139" s="26"/>
    </row>
    <row r="1140" spans="21:30" ht="20.25" customHeight="1" x14ac:dyDescent="0.25">
      <c r="U1140" s="17"/>
      <c r="AD1140" s="26"/>
    </row>
    <row r="1141" spans="21:30" ht="20.25" customHeight="1" x14ac:dyDescent="0.25">
      <c r="U1141" s="17"/>
      <c r="AD1141" s="26"/>
    </row>
    <row r="1142" spans="21:30" ht="20.25" customHeight="1" x14ac:dyDescent="0.25">
      <c r="U1142" s="17"/>
      <c r="AD1142" s="26"/>
    </row>
    <row r="1143" spans="21:30" ht="20.25" customHeight="1" x14ac:dyDescent="0.25">
      <c r="U1143" s="17"/>
      <c r="AD1143" s="26"/>
    </row>
    <row r="1144" spans="21:30" ht="20.25" customHeight="1" x14ac:dyDescent="0.25">
      <c r="U1144" s="17"/>
      <c r="AD1144" s="26"/>
    </row>
    <row r="1145" spans="21:30" ht="20.25" customHeight="1" x14ac:dyDescent="0.25">
      <c r="U1145" s="17"/>
      <c r="AD1145" s="26"/>
    </row>
    <row r="1146" spans="21:30" ht="20.25" customHeight="1" x14ac:dyDescent="0.25">
      <c r="U1146" s="17"/>
      <c r="AD1146" s="26"/>
    </row>
    <row r="1147" spans="21:30" ht="20.25" customHeight="1" x14ac:dyDescent="0.25">
      <c r="U1147" s="17"/>
      <c r="AD1147" s="26"/>
    </row>
    <row r="1148" spans="21:30" ht="20.25" customHeight="1" x14ac:dyDescent="0.25">
      <c r="U1148" s="17"/>
      <c r="AD1148" s="26"/>
    </row>
    <row r="1149" spans="21:30" ht="20.25" customHeight="1" x14ac:dyDescent="0.25">
      <c r="U1149" s="17"/>
      <c r="AD1149" s="26"/>
    </row>
    <row r="1150" spans="21:30" ht="20.25" customHeight="1" x14ac:dyDescent="0.25">
      <c r="U1150" s="17"/>
      <c r="AD1150" s="26"/>
    </row>
    <row r="1151" spans="21:30" ht="20.25" customHeight="1" x14ac:dyDescent="0.25">
      <c r="U1151" s="17"/>
      <c r="AD1151" s="26"/>
    </row>
    <row r="1152" spans="21:30" ht="20.25" customHeight="1" x14ac:dyDescent="0.25">
      <c r="U1152" s="17"/>
      <c r="AD1152" s="26"/>
    </row>
    <row r="1153" spans="21:30" ht="20.25" customHeight="1" x14ac:dyDescent="0.25">
      <c r="U1153" s="17"/>
      <c r="AD1153" s="26"/>
    </row>
    <row r="1154" spans="21:30" ht="20.25" customHeight="1" x14ac:dyDescent="0.25">
      <c r="U1154" s="17"/>
      <c r="AD1154" s="26"/>
    </row>
    <row r="1155" spans="21:30" ht="20.25" customHeight="1" x14ac:dyDescent="0.25">
      <c r="U1155" s="17"/>
      <c r="AD1155" s="26"/>
    </row>
    <row r="1156" spans="21:30" ht="20.25" customHeight="1" x14ac:dyDescent="0.25">
      <c r="U1156" s="17"/>
      <c r="AD1156" s="26"/>
    </row>
    <row r="1157" spans="21:30" ht="20.25" customHeight="1" x14ac:dyDescent="0.25">
      <c r="U1157" s="17"/>
      <c r="AD1157" s="26"/>
    </row>
    <row r="1158" spans="21:30" ht="20.25" customHeight="1" x14ac:dyDescent="0.25">
      <c r="U1158" s="17"/>
      <c r="AD1158" s="26"/>
    </row>
    <row r="1159" spans="21:30" ht="20.25" customHeight="1" x14ac:dyDescent="0.25">
      <c r="U1159" s="17"/>
      <c r="AD1159" s="26"/>
    </row>
    <row r="1160" spans="21:30" ht="20.25" customHeight="1" x14ac:dyDescent="0.25">
      <c r="U1160" s="17"/>
      <c r="AD1160" s="26"/>
    </row>
    <row r="1161" spans="21:30" ht="20.25" customHeight="1" x14ac:dyDescent="0.25">
      <c r="U1161" s="17"/>
      <c r="AD1161" s="26"/>
    </row>
    <row r="1162" spans="21:30" ht="20.25" customHeight="1" x14ac:dyDescent="0.25">
      <c r="U1162" s="17"/>
      <c r="AD1162" s="26"/>
    </row>
    <row r="1163" spans="21:30" ht="20.25" customHeight="1" x14ac:dyDescent="0.25">
      <c r="U1163" s="17"/>
      <c r="AD1163" s="26"/>
    </row>
    <row r="1164" spans="21:30" ht="20.25" customHeight="1" x14ac:dyDescent="0.25">
      <c r="U1164" s="17"/>
      <c r="AD1164" s="26"/>
    </row>
    <row r="1165" spans="21:30" ht="20.25" customHeight="1" x14ac:dyDescent="0.25">
      <c r="U1165" s="17"/>
      <c r="AD1165" s="26"/>
    </row>
    <row r="1166" spans="21:30" ht="20.25" customHeight="1" x14ac:dyDescent="0.25">
      <c r="U1166" s="17"/>
      <c r="AD1166" s="26"/>
    </row>
    <row r="1167" spans="21:30" ht="20.25" customHeight="1" x14ac:dyDescent="0.25">
      <c r="U1167" s="17"/>
      <c r="AD1167" s="26"/>
    </row>
    <row r="1168" spans="21:30" ht="20.25" customHeight="1" x14ac:dyDescent="0.25">
      <c r="U1168" s="17"/>
      <c r="AD1168" s="26"/>
    </row>
    <row r="1169" spans="21:30" ht="20.25" customHeight="1" x14ac:dyDescent="0.25">
      <c r="U1169" s="17"/>
      <c r="AD1169" s="26"/>
    </row>
    <row r="1170" spans="21:30" ht="20.25" customHeight="1" x14ac:dyDescent="0.25">
      <c r="U1170" s="17"/>
      <c r="AD1170" s="26"/>
    </row>
    <row r="1171" spans="21:30" ht="20.25" customHeight="1" x14ac:dyDescent="0.25">
      <c r="U1171" s="17"/>
      <c r="AD1171" s="26"/>
    </row>
    <row r="1172" spans="21:30" ht="20.25" customHeight="1" x14ac:dyDescent="0.25">
      <c r="U1172" s="17"/>
      <c r="AD1172" s="26"/>
    </row>
    <row r="1173" spans="21:30" ht="20.25" customHeight="1" x14ac:dyDescent="0.25">
      <c r="U1173" s="17"/>
      <c r="AD1173" s="26"/>
    </row>
    <row r="1174" spans="21:30" ht="20.25" customHeight="1" x14ac:dyDescent="0.25">
      <c r="U1174" s="17"/>
      <c r="AD1174" s="26"/>
    </row>
    <row r="1175" spans="21:30" ht="20.25" customHeight="1" x14ac:dyDescent="0.25">
      <c r="U1175" s="17"/>
      <c r="AD1175" s="26"/>
    </row>
    <row r="1176" spans="21:30" ht="20.25" customHeight="1" x14ac:dyDescent="0.25">
      <c r="U1176" s="17"/>
      <c r="AD1176" s="26"/>
    </row>
    <row r="1177" spans="21:30" ht="20.25" customHeight="1" x14ac:dyDescent="0.25">
      <c r="U1177" s="17"/>
      <c r="AD1177" s="26"/>
    </row>
    <row r="1178" spans="21:30" ht="20.25" customHeight="1" x14ac:dyDescent="0.25">
      <c r="U1178" s="17"/>
      <c r="AD1178" s="26"/>
    </row>
    <row r="1179" spans="21:30" ht="20.25" customHeight="1" x14ac:dyDescent="0.25">
      <c r="U1179" s="17"/>
      <c r="AD1179" s="26"/>
    </row>
    <row r="1180" spans="21:30" ht="20.25" customHeight="1" x14ac:dyDescent="0.25">
      <c r="U1180" s="17"/>
      <c r="AD1180" s="26"/>
    </row>
    <row r="1181" spans="21:30" ht="20.25" customHeight="1" x14ac:dyDescent="0.25">
      <c r="U1181" s="17"/>
      <c r="AD1181" s="26"/>
    </row>
    <row r="1182" spans="21:30" ht="20.25" customHeight="1" x14ac:dyDescent="0.25">
      <c r="U1182" s="17"/>
      <c r="AD1182" s="26"/>
    </row>
    <row r="1183" spans="21:30" ht="20.25" customHeight="1" x14ac:dyDescent="0.25">
      <c r="U1183" s="17"/>
      <c r="AD1183" s="26"/>
    </row>
    <row r="1184" spans="21:30" ht="20.25" customHeight="1" x14ac:dyDescent="0.25">
      <c r="U1184" s="17"/>
      <c r="AD1184" s="26"/>
    </row>
    <row r="1185" spans="21:30" ht="20.25" customHeight="1" x14ac:dyDescent="0.25">
      <c r="U1185" s="17"/>
      <c r="AD1185" s="26"/>
    </row>
    <row r="1186" spans="21:30" ht="20.25" customHeight="1" x14ac:dyDescent="0.25">
      <c r="U1186" s="17"/>
      <c r="AD1186" s="26"/>
    </row>
    <row r="1187" spans="21:30" ht="20.25" customHeight="1" x14ac:dyDescent="0.25">
      <c r="U1187" s="17"/>
      <c r="AD1187" s="26"/>
    </row>
    <row r="1188" spans="21:30" ht="20.25" customHeight="1" x14ac:dyDescent="0.25">
      <c r="U1188" s="17"/>
      <c r="AD1188" s="26"/>
    </row>
    <row r="1189" spans="21:30" ht="20.25" customHeight="1" x14ac:dyDescent="0.25">
      <c r="U1189" s="17"/>
      <c r="AD1189" s="26"/>
    </row>
    <row r="1190" spans="21:30" ht="20.25" customHeight="1" x14ac:dyDescent="0.25">
      <c r="U1190" s="17"/>
      <c r="AD1190" s="26"/>
    </row>
    <row r="1191" spans="21:30" ht="20.25" customHeight="1" x14ac:dyDescent="0.25">
      <c r="U1191" s="17"/>
      <c r="AD1191" s="26"/>
    </row>
    <row r="1192" spans="21:30" ht="20.25" customHeight="1" x14ac:dyDescent="0.25">
      <c r="U1192" s="17"/>
      <c r="AD1192" s="26"/>
    </row>
    <row r="1193" spans="21:30" ht="20.25" customHeight="1" x14ac:dyDescent="0.25">
      <c r="U1193" s="17"/>
      <c r="AD1193" s="26"/>
    </row>
    <row r="1194" spans="21:30" ht="20.25" customHeight="1" x14ac:dyDescent="0.25">
      <c r="U1194" s="17"/>
      <c r="AD1194" s="26"/>
    </row>
    <row r="1195" spans="21:30" ht="20.25" customHeight="1" x14ac:dyDescent="0.25">
      <c r="U1195" s="17"/>
      <c r="AD1195" s="26"/>
    </row>
    <row r="1196" spans="21:30" ht="20.25" customHeight="1" x14ac:dyDescent="0.25">
      <c r="U1196" s="17"/>
      <c r="AD1196" s="26"/>
    </row>
    <row r="1197" spans="21:30" ht="20.25" customHeight="1" x14ac:dyDescent="0.25">
      <c r="U1197" s="17"/>
      <c r="AD1197" s="26"/>
    </row>
    <row r="1198" spans="21:30" ht="20.25" customHeight="1" x14ac:dyDescent="0.25">
      <c r="U1198" s="17"/>
      <c r="AD1198" s="26"/>
    </row>
    <row r="1199" spans="21:30" ht="20.25" customHeight="1" x14ac:dyDescent="0.25">
      <c r="U1199" s="17"/>
      <c r="AD1199" s="26"/>
    </row>
    <row r="1200" spans="21:30" ht="20.25" customHeight="1" x14ac:dyDescent="0.25">
      <c r="U1200" s="17"/>
      <c r="AD1200" s="26"/>
    </row>
    <row r="1201" spans="21:30" ht="20.25" customHeight="1" x14ac:dyDescent="0.25">
      <c r="U1201" s="17"/>
      <c r="AD1201" s="26"/>
    </row>
    <row r="1202" spans="21:30" ht="20.25" customHeight="1" x14ac:dyDescent="0.25">
      <c r="U1202" s="17"/>
      <c r="AD1202" s="26"/>
    </row>
    <row r="1203" spans="21:30" ht="20.25" customHeight="1" x14ac:dyDescent="0.25">
      <c r="U1203" s="17"/>
      <c r="AD1203" s="26"/>
    </row>
    <row r="1204" spans="21:30" ht="20.25" customHeight="1" x14ac:dyDescent="0.25">
      <c r="U1204" s="17"/>
      <c r="AD1204" s="26"/>
    </row>
    <row r="1205" spans="21:30" ht="20.25" customHeight="1" x14ac:dyDescent="0.25">
      <c r="U1205" s="17"/>
      <c r="AD1205" s="26"/>
    </row>
    <row r="1206" spans="21:30" ht="20.25" customHeight="1" x14ac:dyDescent="0.25">
      <c r="U1206" s="17"/>
      <c r="AD1206" s="26"/>
    </row>
    <row r="1207" spans="21:30" ht="20.25" customHeight="1" x14ac:dyDescent="0.25">
      <c r="U1207" s="17"/>
      <c r="AD1207" s="26"/>
    </row>
    <row r="1208" spans="21:30" ht="20.25" customHeight="1" x14ac:dyDescent="0.25">
      <c r="U1208" s="17"/>
      <c r="AD1208" s="26"/>
    </row>
    <row r="1209" spans="21:30" ht="20.25" customHeight="1" x14ac:dyDescent="0.25">
      <c r="U1209" s="17"/>
      <c r="AD1209" s="26"/>
    </row>
    <row r="1210" spans="21:30" ht="20.25" customHeight="1" x14ac:dyDescent="0.25">
      <c r="U1210" s="17"/>
      <c r="AD1210" s="26"/>
    </row>
    <row r="1211" spans="21:30" ht="20.25" customHeight="1" x14ac:dyDescent="0.25">
      <c r="U1211" s="17"/>
      <c r="AD1211" s="26"/>
    </row>
    <row r="1212" spans="21:30" ht="20.25" customHeight="1" x14ac:dyDescent="0.25">
      <c r="U1212" s="17"/>
      <c r="AD1212" s="26"/>
    </row>
    <row r="1213" spans="21:30" ht="20.25" customHeight="1" x14ac:dyDescent="0.25">
      <c r="U1213" s="17"/>
      <c r="AD1213" s="26"/>
    </row>
    <row r="1214" spans="21:30" ht="20.25" customHeight="1" x14ac:dyDescent="0.25">
      <c r="U1214" s="17"/>
      <c r="AD1214" s="26"/>
    </row>
    <row r="1215" spans="21:30" ht="20.25" customHeight="1" x14ac:dyDescent="0.25">
      <c r="U1215" s="17"/>
      <c r="AD1215" s="26"/>
    </row>
    <row r="1216" spans="21:30" ht="20.25" customHeight="1" x14ac:dyDescent="0.25">
      <c r="U1216" s="17"/>
      <c r="AD1216" s="26"/>
    </row>
    <row r="1217" spans="21:30" ht="20.25" customHeight="1" x14ac:dyDescent="0.25">
      <c r="U1217" s="17"/>
      <c r="AD1217" s="26"/>
    </row>
    <row r="1218" spans="21:30" ht="20.25" customHeight="1" x14ac:dyDescent="0.25">
      <c r="U1218" s="17"/>
      <c r="AD1218" s="26"/>
    </row>
    <row r="1219" spans="21:30" ht="20.25" customHeight="1" x14ac:dyDescent="0.25">
      <c r="U1219" s="17"/>
      <c r="AD1219" s="26"/>
    </row>
    <row r="1220" spans="21:30" ht="20.25" customHeight="1" x14ac:dyDescent="0.25">
      <c r="U1220" s="17"/>
      <c r="AD1220" s="26"/>
    </row>
    <row r="1221" spans="21:30" ht="20.25" customHeight="1" x14ac:dyDescent="0.25">
      <c r="U1221" s="17"/>
      <c r="AD1221" s="26"/>
    </row>
    <row r="1222" spans="21:30" ht="20.25" customHeight="1" x14ac:dyDescent="0.25">
      <c r="U1222" s="17"/>
      <c r="AD1222" s="26"/>
    </row>
    <row r="1223" spans="21:30" ht="20.25" customHeight="1" x14ac:dyDescent="0.25">
      <c r="U1223" s="17"/>
      <c r="AD1223" s="26"/>
    </row>
    <row r="1224" spans="21:30" ht="20.25" customHeight="1" x14ac:dyDescent="0.25">
      <c r="U1224" s="17"/>
      <c r="AD1224" s="26"/>
    </row>
    <row r="1225" spans="21:30" ht="20.25" customHeight="1" x14ac:dyDescent="0.25">
      <c r="U1225" s="17"/>
      <c r="AD1225" s="26"/>
    </row>
    <row r="1226" spans="21:30" ht="20.25" customHeight="1" x14ac:dyDescent="0.25">
      <c r="U1226" s="17"/>
      <c r="AD1226" s="26"/>
    </row>
    <row r="1227" spans="21:30" ht="20.25" customHeight="1" x14ac:dyDescent="0.25">
      <c r="U1227" s="17"/>
      <c r="AD1227" s="26"/>
    </row>
    <row r="1228" spans="21:30" ht="20.25" customHeight="1" x14ac:dyDescent="0.25">
      <c r="U1228" s="17"/>
      <c r="AD1228" s="26"/>
    </row>
    <row r="1229" spans="21:30" ht="20.25" customHeight="1" x14ac:dyDescent="0.25">
      <c r="U1229" s="17"/>
      <c r="AD1229" s="26"/>
    </row>
    <row r="1230" spans="21:30" ht="20.25" customHeight="1" x14ac:dyDescent="0.25">
      <c r="U1230" s="17"/>
      <c r="AD1230" s="26"/>
    </row>
    <row r="1231" spans="21:30" ht="20.25" customHeight="1" x14ac:dyDescent="0.25">
      <c r="U1231" s="17"/>
      <c r="AD1231" s="26"/>
    </row>
    <row r="1232" spans="21:30" ht="20.25" customHeight="1" x14ac:dyDescent="0.25">
      <c r="U1232" s="17"/>
      <c r="AD1232" s="26"/>
    </row>
    <row r="1233" spans="21:30" ht="20.25" customHeight="1" x14ac:dyDescent="0.25">
      <c r="U1233" s="17"/>
      <c r="AD1233" s="26"/>
    </row>
    <row r="1234" spans="21:30" ht="20.25" customHeight="1" x14ac:dyDescent="0.25">
      <c r="U1234" s="17"/>
      <c r="AD1234" s="26"/>
    </row>
    <row r="1235" spans="21:30" ht="20.25" customHeight="1" x14ac:dyDescent="0.25">
      <c r="U1235" s="17"/>
      <c r="AD1235" s="26"/>
    </row>
    <row r="1236" spans="21:30" ht="20.25" customHeight="1" x14ac:dyDescent="0.25">
      <c r="U1236" s="17"/>
      <c r="AD1236" s="26"/>
    </row>
    <row r="1237" spans="21:30" ht="20.25" customHeight="1" x14ac:dyDescent="0.25">
      <c r="U1237" s="17"/>
      <c r="AD1237" s="26"/>
    </row>
    <row r="1238" spans="21:30" ht="20.25" customHeight="1" x14ac:dyDescent="0.25">
      <c r="U1238" s="17"/>
      <c r="AD1238" s="26"/>
    </row>
    <row r="1239" spans="21:30" ht="20.25" customHeight="1" x14ac:dyDescent="0.25">
      <c r="U1239" s="17"/>
      <c r="AD1239" s="26"/>
    </row>
    <row r="1240" spans="21:30" ht="20.25" customHeight="1" x14ac:dyDescent="0.25">
      <c r="U1240" s="17"/>
      <c r="AD1240" s="26"/>
    </row>
    <row r="1241" spans="21:30" ht="20.25" customHeight="1" x14ac:dyDescent="0.25">
      <c r="U1241" s="17"/>
      <c r="AD1241" s="26"/>
    </row>
    <row r="1242" spans="21:30" ht="20.25" customHeight="1" x14ac:dyDescent="0.25">
      <c r="U1242" s="17"/>
      <c r="AD1242" s="26"/>
    </row>
    <row r="1243" spans="21:30" ht="20.25" customHeight="1" x14ac:dyDescent="0.25">
      <c r="U1243" s="17"/>
      <c r="AD1243" s="26"/>
    </row>
    <row r="1244" spans="21:30" ht="20.25" customHeight="1" x14ac:dyDescent="0.25">
      <c r="U1244" s="17"/>
      <c r="AD1244" s="26"/>
    </row>
    <row r="1245" spans="21:30" ht="20.25" customHeight="1" x14ac:dyDescent="0.25">
      <c r="U1245" s="17"/>
      <c r="AD1245" s="26"/>
    </row>
    <row r="1246" spans="21:30" ht="20.25" customHeight="1" x14ac:dyDescent="0.25">
      <c r="U1246" s="17"/>
      <c r="AD1246" s="26"/>
    </row>
    <row r="1247" spans="21:30" ht="20.25" customHeight="1" x14ac:dyDescent="0.25">
      <c r="U1247" s="17"/>
      <c r="AD1247" s="26"/>
    </row>
    <row r="1248" spans="21:30" ht="20.25" customHeight="1" x14ac:dyDescent="0.25">
      <c r="U1248" s="17"/>
      <c r="AD1248" s="26"/>
    </row>
    <row r="1249" spans="21:30" ht="20.25" customHeight="1" x14ac:dyDescent="0.25">
      <c r="U1249" s="17"/>
      <c r="AD1249" s="26"/>
    </row>
    <row r="1250" spans="21:30" ht="20.25" customHeight="1" x14ac:dyDescent="0.25">
      <c r="U1250" s="17"/>
      <c r="AD1250" s="26"/>
    </row>
    <row r="1251" spans="21:30" ht="20.25" customHeight="1" x14ac:dyDescent="0.25">
      <c r="U1251" s="17"/>
      <c r="AD1251" s="26"/>
    </row>
    <row r="1252" spans="21:30" ht="20.25" customHeight="1" x14ac:dyDescent="0.25">
      <c r="U1252" s="17"/>
      <c r="AD1252" s="26"/>
    </row>
    <row r="1253" spans="21:30" ht="20.25" customHeight="1" x14ac:dyDescent="0.25">
      <c r="U1253" s="17"/>
      <c r="AD1253" s="26"/>
    </row>
    <row r="1254" spans="21:30" ht="20.25" customHeight="1" x14ac:dyDescent="0.25">
      <c r="U1254" s="17"/>
      <c r="AD1254" s="26"/>
    </row>
    <row r="1255" spans="21:30" ht="20.25" customHeight="1" x14ac:dyDescent="0.25">
      <c r="U1255" s="17"/>
      <c r="AD1255" s="26"/>
    </row>
    <row r="1256" spans="21:30" ht="20.25" customHeight="1" x14ac:dyDescent="0.25">
      <c r="U1256" s="17"/>
      <c r="AD1256" s="26"/>
    </row>
    <row r="1257" spans="21:30" ht="20.25" customHeight="1" x14ac:dyDescent="0.25">
      <c r="U1257" s="17"/>
      <c r="AD1257" s="26"/>
    </row>
    <row r="1258" spans="21:30" ht="20.25" customHeight="1" x14ac:dyDescent="0.25">
      <c r="U1258" s="17"/>
      <c r="AD1258" s="26"/>
    </row>
    <row r="1259" spans="21:30" ht="20.25" customHeight="1" x14ac:dyDescent="0.25">
      <c r="U1259" s="17"/>
      <c r="AD1259" s="26"/>
    </row>
    <row r="1260" spans="21:30" ht="20.25" customHeight="1" x14ac:dyDescent="0.25">
      <c r="U1260" s="17"/>
      <c r="AD1260" s="26"/>
    </row>
    <row r="1261" spans="21:30" ht="20.25" customHeight="1" x14ac:dyDescent="0.25">
      <c r="U1261" s="17"/>
      <c r="AD1261" s="26"/>
    </row>
    <row r="1262" spans="21:30" ht="20.25" customHeight="1" x14ac:dyDescent="0.25">
      <c r="U1262" s="17"/>
      <c r="AD1262" s="26"/>
    </row>
    <row r="1263" spans="21:30" ht="20.25" customHeight="1" x14ac:dyDescent="0.25">
      <c r="U1263" s="17"/>
      <c r="AD1263" s="26"/>
    </row>
    <row r="1264" spans="21:30" ht="20.25" customHeight="1" x14ac:dyDescent="0.25">
      <c r="U1264" s="17"/>
      <c r="AD1264" s="26"/>
    </row>
    <row r="1265" spans="21:30" ht="20.25" customHeight="1" x14ac:dyDescent="0.25">
      <c r="U1265" s="17"/>
      <c r="AD1265" s="26"/>
    </row>
    <row r="1266" spans="21:30" ht="20.25" customHeight="1" x14ac:dyDescent="0.25">
      <c r="U1266" s="17"/>
      <c r="AD1266" s="26"/>
    </row>
    <row r="1267" spans="21:30" ht="20.25" customHeight="1" x14ac:dyDescent="0.25">
      <c r="U1267" s="17"/>
      <c r="AD1267" s="26"/>
    </row>
    <row r="1268" spans="21:30" ht="20.25" customHeight="1" x14ac:dyDescent="0.25">
      <c r="U1268" s="17"/>
      <c r="AD1268" s="26"/>
    </row>
    <row r="1269" spans="21:30" ht="20.25" customHeight="1" x14ac:dyDescent="0.25">
      <c r="U1269" s="17"/>
      <c r="AD1269" s="26"/>
    </row>
    <row r="1270" spans="21:30" ht="20.25" customHeight="1" x14ac:dyDescent="0.25">
      <c r="U1270" s="17"/>
      <c r="AD1270" s="26"/>
    </row>
    <row r="1271" spans="21:30" ht="20.25" customHeight="1" x14ac:dyDescent="0.25">
      <c r="U1271" s="17"/>
      <c r="AD1271" s="26"/>
    </row>
    <row r="1272" spans="21:30" ht="20.25" customHeight="1" x14ac:dyDescent="0.25">
      <c r="U1272" s="17"/>
      <c r="AD1272" s="26"/>
    </row>
    <row r="1273" spans="21:30" ht="20.25" customHeight="1" x14ac:dyDescent="0.25">
      <c r="U1273" s="17"/>
      <c r="AD1273" s="26"/>
    </row>
    <row r="1274" spans="21:30" ht="20.25" customHeight="1" x14ac:dyDescent="0.25">
      <c r="U1274" s="17"/>
      <c r="AD1274" s="26"/>
    </row>
    <row r="1275" spans="21:30" ht="20.25" customHeight="1" x14ac:dyDescent="0.25">
      <c r="U1275" s="17"/>
      <c r="AD1275" s="26"/>
    </row>
    <row r="1276" spans="21:30" ht="20.25" customHeight="1" x14ac:dyDescent="0.25">
      <c r="U1276" s="17"/>
      <c r="AD1276" s="26"/>
    </row>
    <row r="1277" spans="21:30" ht="20.25" customHeight="1" x14ac:dyDescent="0.25">
      <c r="U1277" s="17"/>
      <c r="AD1277" s="26"/>
    </row>
    <row r="1278" spans="21:30" ht="20.25" customHeight="1" x14ac:dyDescent="0.25">
      <c r="U1278" s="17"/>
      <c r="AD1278" s="26"/>
    </row>
    <row r="1279" spans="21:30" ht="20.25" customHeight="1" x14ac:dyDescent="0.25">
      <c r="U1279" s="17"/>
      <c r="AD1279" s="26"/>
    </row>
    <row r="1280" spans="21:30" ht="20.25" customHeight="1" x14ac:dyDescent="0.25">
      <c r="U1280" s="17"/>
      <c r="AD1280" s="26"/>
    </row>
    <row r="1281" spans="21:30" ht="20.25" customHeight="1" x14ac:dyDescent="0.25">
      <c r="U1281" s="17"/>
      <c r="AD1281" s="26"/>
    </row>
    <row r="1282" spans="21:30" ht="20.25" customHeight="1" x14ac:dyDescent="0.25">
      <c r="U1282" s="17"/>
      <c r="AD1282" s="26"/>
    </row>
    <row r="1283" spans="21:30" ht="20.25" customHeight="1" x14ac:dyDescent="0.25">
      <c r="U1283" s="17"/>
      <c r="AD1283" s="26"/>
    </row>
    <row r="1284" spans="21:30" ht="20.25" customHeight="1" x14ac:dyDescent="0.25">
      <c r="U1284" s="17"/>
      <c r="AD1284" s="26"/>
    </row>
    <row r="1285" spans="21:30" ht="20.25" customHeight="1" x14ac:dyDescent="0.25">
      <c r="U1285" s="17"/>
      <c r="AD1285" s="26"/>
    </row>
    <row r="1286" spans="21:30" ht="20.25" customHeight="1" x14ac:dyDescent="0.25">
      <c r="U1286" s="17"/>
      <c r="AD1286" s="26"/>
    </row>
    <row r="1287" spans="21:30" ht="20.25" customHeight="1" x14ac:dyDescent="0.25">
      <c r="U1287" s="17"/>
      <c r="AD1287" s="26"/>
    </row>
    <row r="1288" spans="21:30" ht="20.25" customHeight="1" x14ac:dyDescent="0.25">
      <c r="U1288" s="17"/>
      <c r="AD1288" s="26"/>
    </row>
    <row r="1289" spans="21:30" ht="20.25" customHeight="1" x14ac:dyDescent="0.25">
      <c r="U1289" s="17"/>
      <c r="AD1289" s="26"/>
    </row>
    <row r="1290" spans="21:30" ht="20.25" customHeight="1" x14ac:dyDescent="0.25">
      <c r="U1290" s="17"/>
      <c r="AD1290" s="26"/>
    </row>
    <row r="1291" spans="21:30" ht="20.25" customHeight="1" x14ac:dyDescent="0.25">
      <c r="U1291" s="17"/>
      <c r="AD1291" s="26"/>
    </row>
    <row r="1292" spans="21:30" ht="20.25" customHeight="1" x14ac:dyDescent="0.25">
      <c r="U1292" s="17"/>
      <c r="AD1292" s="26"/>
    </row>
    <row r="1293" spans="21:30" ht="20.25" customHeight="1" x14ac:dyDescent="0.25">
      <c r="U1293" s="17"/>
      <c r="AD1293" s="26"/>
    </row>
    <row r="1294" spans="21:30" ht="20.25" customHeight="1" x14ac:dyDescent="0.25">
      <c r="U1294" s="17"/>
      <c r="AD1294" s="26"/>
    </row>
    <row r="1295" spans="21:30" ht="20.25" customHeight="1" x14ac:dyDescent="0.25">
      <c r="U1295" s="17"/>
      <c r="AD1295" s="26"/>
    </row>
    <row r="1296" spans="21:30" ht="20.25" customHeight="1" x14ac:dyDescent="0.25">
      <c r="U1296" s="17"/>
      <c r="AD1296" s="26"/>
    </row>
    <row r="1297" spans="21:30" ht="20.25" customHeight="1" x14ac:dyDescent="0.25">
      <c r="U1297" s="17"/>
      <c r="AD1297" s="26"/>
    </row>
    <row r="1298" spans="21:30" ht="20.25" customHeight="1" x14ac:dyDescent="0.25">
      <c r="U1298" s="17"/>
      <c r="AD1298" s="26"/>
    </row>
    <row r="1299" spans="21:30" ht="20.25" customHeight="1" x14ac:dyDescent="0.25">
      <c r="U1299" s="17"/>
      <c r="AD1299" s="26"/>
    </row>
    <row r="1300" spans="21:30" ht="20.25" customHeight="1" x14ac:dyDescent="0.25">
      <c r="U1300" s="17"/>
      <c r="AD1300" s="26"/>
    </row>
    <row r="1301" spans="21:30" ht="20.25" customHeight="1" x14ac:dyDescent="0.25">
      <c r="U1301" s="17"/>
      <c r="AD1301" s="26"/>
    </row>
    <row r="1302" spans="21:30" ht="20.25" customHeight="1" x14ac:dyDescent="0.25">
      <c r="U1302" s="17"/>
      <c r="AD1302" s="26"/>
    </row>
    <row r="1303" spans="21:30" ht="20.25" customHeight="1" x14ac:dyDescent="0.25">
      <c r="U1303" s="17"/>
      <c r="AD1303" s="26"/>
    </row>
    <row r="1304" spans="21:30" ht="20.25" customHeight="1" x14ac:dyDescent="0.25">
      <c r="U1304" s="17"/>
      <c r="AD1304" s="26"/>
    </row>
    <row r="1305" spans="21:30" ht="20.25" customHeight="1" x14ac:dyDescent="0.25">
      <c r="U1305" s="17"/>
      <c r="AD1305" s="26"/>
    </row>
    <row r="1306" spans="21:30" ht="20.25" customHeight="1" x14ac:dyDescent="0.25">
      <c r="U1306" s="17"/>
      <c r="AD1306" s="26"/>
    </row>
    <row r="1307" spans="21:30" ht="20.25" customHeight="1" x14ac:dyDescent="0.25">
      <c r="U1307" s="17"/>
      <c r="AD1307" s="26"/>
    </row>
    <row r="1308" spans="21:30" ht="20.25" customHeight="1" x14ac:dyDescent="0.25">
      <c r="U1308" s="17"/>
      <c r="AD1308" s="26"/>
    </row>
    <row r="1309" spans="21:30" ht="20.25" customHeight="1" x14ac:dyDescent="0.25">
      <c r="U1309" s="17"/>
      <c r="AD1309" s="26"/>
    </row>
    <row r="1310" spans="21:30" ht="20.25" customHeight="1" x14ac:dyDescent="0.25">
      <c r="U1310" s="17"/>
      <c r="AD1310" s="26"/>
    </row>
    <row r="1311" spans="21:30" ht="20.25" customHeight="1" x14ac:dyDescent="0.25">
      <c r="U1311" s="17"/>
      <c r="AD1311" s="26"/>
    </row>
    <row r="1312" spans="21:30" ht="20.25" customHeight="1" x14ac:dyDescent="0.25">
      <c r="U1312" s="17"/>
      <c r="AD1312" s="26"/>
    </row>
    <row r="1313" spans="21:30" ht="20.25" customHeight="1" x14ac:dyDescent="0.25">
      <c r="U1313" s="17"/>
      <c r="AD1313" s="26"/>
    </row>
    <row r="1314" spans="21:30" ht="20.25" customHeight="1" x14ac:dyDescent="0.25">
      <c r="U1314" s="17"/>
      <c r="AD1314" s="26"/>
    </row>
    <row r="1315" spans="21:30" ht="20.25" customHeight="1" x14ac:dyDescent="0.25">
      <c r="U1315" s="17"/>
      <c r="AD1315" s="26"/>
    </row>
    <row r="1316" spans="21:30" ht="20.25" customHeight="1" x14ac:dyDescent="0.25">
      <c r="U1316" s="17"/>
      <c r="AD1316" s="26"/>
    </row>
    <row r="1317" spans="21:30" ht="20.25" customHeight="1" x14ac:dyDescent="0.25">
      <c r="U1317" s="17"/>
      <c r="AD1317" s="26"/>
    </row>
    <row r="1318" spans="21:30" ht="20.25" customHeight="1" x14ac:dyDescent="0.25">
      <c r="U1318" s="17"/>
      <c r="AD1318" s="26"/>
    </row>
    <row r="1319" spans="21:30" ht="20.25" customHeight="1" x14ac:dyDescent="0.25">
      <c r="U1319" s="17"/>
      <c r="AD1319" s="26"/>
    </row>
    <row r="1320" spans="21:30" ht="20.25" customHeight="1" x14ac:dyDescent="0.25">
      <c r="U1320" s="17"/>
      <c r="AD1320" s="26"/>
    </row>
    <row r="1321" spans="21:30" ht="20.25" customHeight="1" x14ac:dyDescent="0.25">
      <c r="U1321" s="17"/>
      <c r="AD1321" s="26"/>
    </row>
    <row r="1322" spans="21:30" ht="20.25" customHeight="1" x14ac:dyDescent="0.25">
      <c r="U1322" s="17"/>
      <c r="AD1322" s="26"/>
    </row>
    <row r="1323" spans="21:30" ht="20.25" customHeight="1" x14ac:dyDescent="0.25">
      <c r="U1323" s="17"/>
      <c r="AD1323" s="26"/>
    </row>
    <row r="1324" spans="21:30" ht="20.25" customHeight="1" x14ac:dyDescent="0.25">
      <c r="U1324" s="17"/>
      <c r="AD1324" s="26"/>
    </row>
    <row r="1325" spans="21:30" ht="20.25" customHeight="1" x14ac:dyDescent="0.25">
      <c r="U1325" s="17"/>
      <c r="AD1325" s="26"/>
    </row>
    <row r="1326" spans="21:30" ht="20.25" customHeight="1" x14ac:dyDescent="0.25">
      <c r="U1326" s="17"/>
      <c r="AD1326" s="26"/>
    </row>
    <row r="1327" spans="21:30" ht="20.25" customHeight="1" x14ac:dyDescent="0.25">
      <c r="U1327" s="17"/>
      <c r="AD1327" s="26"/>
    </row>
    <row r="1328" spans="21:30" ht="20.25" customHeight="1" x14ac:dyDescent="0.25">
      <c r="U1328" s="17"/>
      <c r="AD1328" s="26"/>
    </row>
    <row r="1329" spans="21:30" ht="20.25" customHeight="1" x14ac:dyDescent="0.25">
      <c r="U1329" s="17"/>
      <c r="AD1329" s="26"/>
    </row>
    <row r="1330" spans="21:30" ht="20.25" customHeight="1" x14ac:dyDescent="0.25">
      <c r="U1330" s="17"/>
      <c r="AD1330" s="26"/>
    </row>
    <row r="1331" spans="21:30" ht="20.25" customHeight="1" x14ac:dyDescent="0.25">
      <c r="U1331" s="17"/>
      <c r="AD1331" s="26"/>
    </row>
    <row r="1332" spans="21:30" ht="20.25" customHeight="1" x14ac:dyDescent="0.25">
      <c r="U1332" s="17"/>
      <c r="AD1332" s="26"/>
    </row>
    <row r="1333" spans="21:30" ht="20.25" customHeight="1" x14ac:dyDescent="0.25">
      <c r="U1333" s="17"/>
      <c r="AD1333" s="26"/>
    </row>
    <row r="1334" spans="21:30" ht="20.25" customHeight="1" x14ac:dyDescent="0.25">
      <c r="U1334" s="17"/>
      <c r="AD1334" s="26"/>
    </row>
    <row r="1335" spans="21:30" ht="20.25" customHeight="1" x14ac:dyDescent="0.25">
      <c r="U1335" s="17"/>
      <c r="AD1335" s="26"/>
    </row>
    <row r="1336" spans="21:30" ht="20.25" customHeight="1" x14ac:dyDescent="0.25">
      <c r="U1336" s="17"/>
      <c r="AD1336" s="26"/>
    </row>
    <row r="1337" spans="21:30" ht="20.25" customHeight="1" x14ac:dyDescent="0.25">
      <c r="U1337" s="17"/>
      <c r="AD1337" s="26"/>
    </row>
    <row r="1338" spans="21:30" ht="20.25" customHeight="1" x14ac:dyDescent="0.25">
      <c r="U1338" s="17"/>
      <c r="AD1338" s="26"/>
    </row>
    <row r="1339" spans="21:30" ht="20.25" customHeight="1" x14ac:dyDescent="0.25">
      <c r="U1339" s="17"/>
      <c r="AD1339" s="26"/>
    </row>
    <row r="1340" spans="21:30" ht="20.25" customHeight="1" x14ac:dyDescent="0.25">
      <c r="U1340" s="17"/>
      <c r="AD1340" s="26"/>
    </row>
    <row r="1341" spans="21:30" ht="20.25" customHeight="1" x14ac:dyDescent="0.25">
      <c r="U1341" s="17"/>
      <c r="AD1341" s="26"/>
    </row>
    <row r="1342" spans="21:30" ht="20.25" customHeight="1" x14ac:dyDescent="0.25">
      <c r="U1342" s="17"/>
      <c r="AD1342" s="26"/>
    </row>
    <row r="1343" spans="21:30" ht="20.25" customHeight="1" x14ac:dyDescent="0.25">
      <c r="U1343" s="17"/>
      <c r="AD1343" s="26"/>
    </row>
    <row r="1344" spans="21:30" ht="20.25" customHeight="1" x14ac:dyDescent="0.25">
      <c r="U1344" s="17"/>
      <c r="AD1344" s="26"/>
    </row>
    <row r="1345" spans="21:30" ht="20.25" customHeight="1" x14ac:dyDescent="0.25">
      <c r="U1345" s="17"/>
      <c r="AD1345" s="26"/>
    </row>
    <row r="1346" spans="21:30" ht="20.25" customHeight="1" x14ac:dyDescent="0.25">
      <c r="U1346" s="17"/>
      <c r="AD1346" s="26"/>
    </row>
    <row r="1347" spans="21:30" ht="20.25" customHeight="1" x14ac:dyDescent="0.25">
      <c r="U1347" s="17"/>
      <c r="AD1347" s="26"/>
    </row>
    <row r="1348" spans="21:30" ht="20.25" customHeight="1" x14ac:dyDescent="0.25">
      <c r="U1348" s="17"/>
      <c r="AD1348" s="26"/>
    </row>
    <row r="1349" spans="21:30" ht="20.25" customHeight="1" x14ac:dyDescent="0.25">
      <c r="U1349" s="17"/>
      <c r="AD1349" s="26"/>
    </row>
    <row r="1350" spans="21:30" ht="20.25" customHeight="1" x14ac:dyDescent="0.25">
      <c r="U1350" s="17"/>
      <c r="AD1350" s="26"/>
    </row>
    <row r="1351" spans="21:30" ht="20.25" customHeight="1" x14ac:dyDescent="0.25">
      <c r="U1351" s="17"/>
      <c r="AD1351" s="26"/>
    </row>
    <row r="1352" spans="21:30" ht="20.25" customHeight="1" x14ac:dyDescent="0.25">
      <c r="U1352" s="17"/>
      <c r="AD1352" s="26"/>
    </row>
    <row r="1353" spans="21:30" ht="20.25" customHeight="1" x14ac:dyDescent="0.25">
      <c r="U1353" s="17"/>
      <c r="AD1353" s="26"/>
    </row>
    <row r="1354" spans="21:30" ht="20.25" customHeight="1" x14ac:dyDescent="0.25">
      <c r="U1354" s="17"/>
      <c r="AD1354" s="26"/>
    </row>
    <row r="1355" spans="21:30" ht="20.25" customHeight="1" x14ac:dyDescent="0.25">
      <c r="U1355" s="17"/>
      <c r="AD1355" s="26"/>
    </row>
    <row r="1356" spans="21:30" ht="20.25" customHeight="1" x14ac:dyDescent="0.25">
      <c r="U1356" s="17"/>
      <c r="AD1356" s="26"/>
    </row>
    <row r="1357" spans="21:30" ht="20.25" customHeight="1" x14ac:dyDescent="0.25">
      <c r="U1357" s="17"/>
      <c r="AD1357" s="26"/>
    </row>
    <row r="1358" spans="21:30" ht="20.25" customHeight="1" x14ac:dyDescent="0.25">
      <c r="U1358" s="17"/>
      <c r="AD1358" s="26"/>
    </row>
    <row r="1359" spans="21:30" ht="20.25" customHeight="1" x14ac:dyDescent="0.25">
      <c r="U1359" s="17"/>
      <c r="AD1359" s="26"/>
    </row>
    <row r="1360" spans="21:30" ht="20.25" customHeight="1" x14ac:dyDescent="0.25">
      <c r="U1360" s="17"/>
      <c r="AD1360" s="26"/>
    </row>
    <row r="1361" spans="21:30" ht="20.25" customHeight="1" x14ac:dyDescent="0.25">
      <c r="U1361" s="17"/>
      <c r="AD1361" s="26"/>
    </row>
    <row r="1362" spans="21:30" ht="20.25" customHeight="1" x14ac:dyDescent="0.25">
      <c r="U1362" s="17"/>
      <c r="AD1362" s="26"/>
    </row>
    <row r="1363" spans="21:30" ht="20.25" customHeight="1" x14ac:dyDescent="0.25">
      <c r="U1363" s="17"/>
      <c r="AD1363" s="26"/>
    </row>
    <row r="1364" spans="21:30" ht="20.25" customHeight="1" x14ac:dyDescent="0.25">
      <c r="U1364" s="17"/>
      <c r="AD1364" s="26"/>
    </row>
    <row r="1365" spans="21:30" ht="20.25" customHeight="1" x14ac:dyDescent="0.25">
      <c r="U1365" s="17"/>
      <c r="AD1365" s="26"/>
    </row>
    <row r="1366" spans="21:30" ht="20.25" customHeight="1" x14ac:dyDescent="0.25">
      <c r="U1366" s="17"/>
      <c r="AD1366" s="26"/>
    </row>
    <row r="1367" spans="21:30" ht="20.25" customHeight="1" x14ac:dyDescent="0.25">
      <c r="U1367" s="17"/>
      <c r="AD1367" s="26"/>
    </row>
    <row r="1368" spans="21:30" ht="20.25" customHeight="1" x14ac:dyDescent="0.25">
      <c r="U1368" s="17"/>
      <c r="AD1368" s="26"/>
    </row>
    <row r="1369" spans="21:30" ht="20.25" customHeight="1" x14ac:dyDescent="0.25">
      <c r="U1369" s="17"/>
      <c r="AD1369" s="26"/>
    </row>
    <row r="1370" spans="21:30" ht="20.25" customHeight="1" x14ac:dyDescent="0.25">
      <c r="U1370" s="17"/>
      <c r="AD1370" s="26"/>
    </row>
    <row r="1371" spans="21:30" ht="20.25" customHeight="1" x14ac:dyDescent="0.25">
      <c r="U1371" s="17"/>
      <c r="AD1371" s="26"/>
    </row>
    <row r="1372" spans="21:30" ht="20.25" customHeight="1" x14ac:dyDescent="0.25">
      <c r="U1372" s="17"/>
      <c r="AD1372" s="26"/>
    </row>
    <row r="1373" spans="21:30" ht="20.25" customHeight="1" x14ac:dyDescent="0.25">
      <c r="U1373" s="17"/>
      <c r="AD1373" s="26"/>
    </row>
    <row r="1374" spans="21:30" ht="20.25" customHeight="1" x14ac:dyDescent="0.25">
      <c r="U1374" s="17"/>
      <c r="AD1374" s="26"/>
    </row>
    <row r="1375" spans="21:30" ht="20.25" customHeight="1" x14ac:dyDescent="0.25">
      <c r="U1375" s="17"/>
      <c r="AD1375" s="26"/>
    </row>
    <row r="1376" spans="21:30" ht="20.25" customHeight="1" x14ac:dyDescent="0.25">
      <c r="U1376" s="17"/>
      <c r="AD1376" s="26"/>
    </row>
    <row r="1377" spans="21:30" ht="20.25" customHeight="1" x14ac:dyDescent="0.25">
      <c r="U1377" s="17"/>
      <c r="AD1377" s="26"/>
    </row>
    <row r="1378" spans="21:30" ht="20.25" customHeight="1" x14ac:dyDescent="0.25">
      <c r="U1378" s="17"/>
      <c r="AD1378" s="26"/>
    </row>
    <row r="1379" spans="21:30" ht="20.25" customHeight="1" x14ac:dyDescent="0.25">
      <c r="U1379" s="17"/>
      <c r="AD1379" s="26"/>
    </row>
    <row r="1380" spans="21:30" ht="20.25" customHeight="1" x14ac:dyDescent="0.25">
      <c r="U1380" s="17"/>
      <c r="AD1380" s="26"/>
    </row>
    <row r="1381" spans="21:30" ht="20.25" customHeight="1" x14ac:dyDescent="0.25">
      <c r="U1381" s="17"/>
      <c r="AD1381" s="26"/>
    </row>
    <row r="1382" spans="21:30" ht="20.25" customHeight="1" x14ac:dyDescent="0.25">
      <c r="U1382" s="17"/>
      <c r="AD1382" s="26"/>
    </row>
    <row r="1383" spans="21:30" ht="20.25" customHeight="1" x14ac:dyDescent="0.25">
      <c r="U1383" s="17"/>
      <c r="AD1383" s="26"/>
    </row>
    <row r="1384" spans="21:30" ht="20.25" customHeight="1" x14ac:dyDescent="0.25">
      <c r="U1384" s="17"/>
      <c r="AD1384" s="26"/>
    </row>
    <row r="1385" spans="21:30" ht="20.25" customHeight="1" x14ac:dyDescent="0.25">
      <c r="U1385" s="17"/>
      <c r="AD1385" s="26"/>
    </row>
    <row r="1386" spans="21:30" ht="20.25" customHeight="1" x14ac:dyDescent="0.25">
      <c r="U1386" s="17"/>
      <c r="AD1386" s="26"/>
    </row>
    <row r="1387" spans="21:30" ht="20.25" customHeight="1" x14ac:dyDescent="0.25">
      <c r="U1387" s="17"/>
      <c r="AD1387" s="26"/>
    </row>
    <row r="1388" spans="21:30" ht="20.25" customHeight="1" x14ac:dyDescent="0.25">
      <c r="U1388" s="17"/>
      <c r="AD1388" s="26"/>
    </row>
    <row r="1389" spans="21:30" ht="20.25" customHeight="1" x14ac:dyDescent="0.25">
      <c r="U1389" s="17"/>
      <c r="AD1389" s="26"/>
    </row>
    <row r="1390" spans="21:30" ht="20.25" customHeight="1" x14ac:dyDescent="0.25">
      <c r="U1390" s="17"/>
      <c r="AD1390" s="26"/>
    </row>
    <row r="1391" spans="21:30" ht="20.25" customHeight="1" x14ac:dyDescent="0.25">
      <c r="U1391" s="17"/>
      <c r="AD1391" s="26"/>
    </row>
    <row r="1392" spans="21:30" ht="20.25" customHeight="1" x14ac:dyDescent="0.25">
      <c r="U1392" s="17"/>
      <c r="AD1392" s="26"/>
    </row>
    <row r="1393" spans="21:30" ht="20.25" customHeight="1" x14ac:dyDescent="0.25">
      <c r="U1393" s="17"/>
      <c r="AD1393" s="26"/>
    </row>
    <row r="1394" spans="21:30" ht="20.25" customHeight="1" x14ac:dyDescent="0.25">
      <c r="U1394" s="17"/>
      <c r="AD1394" s="26"/>
    </row>
    <row r="1395" spans="21:30" ht="20.25" customHeight="1" x14ac:dyDescent="0.25">
      <c r="U1395" s="17"/>
      <c r="AD1395" s="26"/>
    </row>
    <row r="1396" spans="21:30" ht="20.25" customHeight="1" x14ac:dyDescent="0.25">
      <c r="U1396" s="17"/>
      <c r="AD1396" s="26"/>
    </row>
    <row r="1397" spans="21:30" ht="20.25" customHeight="1" x14ac:dyDescent="0.25">
      <c r="U1397" s="17"/>
      <c r="AD1397" s="26"/>
    </row>
    <row r="1398" spans="21:30" ht="20.25" customHeight="1" x14ac:dyDescent="0.25">
      <c r="U1398" s="17"/>
      <c r="AD1398" s="26"/>
    </row>
    <row r="1399" spans="21:30" ht="20.25" customHeight="1" x14ac:dyDescent="0.25">
      <c r="U1399" s="17"/>
      <c r="AD1399" s="26"/>
    </row>
    <row r="1400" spans="21:30" ht="20.25" customHeight="1" x14ac:dyDescent="0.25">
      <c r="U1400" s="17"/>
      <c r="AD1400" s="26"/>
    </row>
    <row r="1401" spans="21:30" ht="20.25" customHeight="1" x14ac:dyDescent="0.25">
      <c r="U1401" s="17"/>
      <c r="AD1401" s="26"/>
    </row>
    <row r="1402" spans="21:30" ht="20.25" customHeight="1" x14ac:dyDescent="0.25">
      <c r="U1402" s="17"/>
      <c r="AD1402" s="26"/>
    </row>
    <row r="1403" spans="21:30" ht="20.25" customHeight="1" x14ac:dyDescent="0.25">
      <c r="U1403" s="17"/>
      <c r="AD1403" s="26"/>
    </row>
    <row r="1404" spans="21:30" ht="20.25" customHeight="1" x14ac:dyDescent="0.25">
      <c r="U1404" s="17"/>
      <c r="AD1404" s="26"/>
    </row>
    <row r="1405" spans="21:30" ht="20.25" customHeight="1" x14ac:dyDescent="0.25">
      <c r="U1405" s="17"/>
      <c r="AD1405" s="26"/>
    </row>
    <row r="1406" spans="21:30" ht="20.25" customHeight="1" x14ac:dyDescent="0.25">
      <c r="U1406" s="17"/>
      <c r="AD1406" s="26"/>
    </row>
    <row r="1407" spans="21:30" ht="20.25" customHeight="1" x14ac:dyDescent="0.25">
      <c r="U1407" s="17"/>
      <c r="AD1407" s="26"/>
    </row>
    <row r="1408" spans="21:30" ht="20.25" customHeight="1" x14ac:dyDescent="0.25">
      <c r="U1408" s="17"/>
      <c r="AD1408" s="26"/>
    </row>
    <row r="1409" spans="21:30" ht="20.25" customHeight="1" x14ac:dyDescent="0.25">
      <c r="U1409" s="17"/>
      <c r="AD1409" s="26"/>
    </row>
    <row r="1410" spans="21:30" ht="20.25" customHeight="1" x14ac:dyDescent="0.25">
      <c r="U1410" s="17"/>
      <c r="AD1410" s="26"/>
    </row>
    <row r="1411" spans="21:30" ht="20.25" customHeight="1" x14ac:dyDescent="0.25">
      <c r="U1411" s="17"/>
      <c r="AD1411" s="26"/>
    </row>
    <row r="1412" spans="21:30" ht="20.25" customHeight="1" x14ac:dyDescent="0.25">
      <c r="U1412" s="17"/>
      <c r="AD1412" s="26"/>
    </row>
    <row r="1413" spans="21:30" ht="20.25" customHeight="1" x14ac:dyDescent="0.25">
      <c r="U1413" s="17"/>
      <c r="AD1413" s="26"/>
    </row>
    <row r="1414" spans="21:30" ht="20.25" customHeight="1" x14ac:dyDescent="0.25">
      <c r="U1414" s="17"/>
      <c r="AD1414" s="26"/>
    </row>
    <row r="1415" spans="21:30" ht="20.25" customHeight="1" x14ac:dyDescent="0.25">
      <c r="U1415" s="17"/>
      <c r="AD1415" s="26"/>
    </row>
    <row r="1416" spans="21:30" ht="20.25" customHeight="1" x14ac:dyDescent="0.25">
      <c r="U1416" s="17"/>
      <c r="AD1416" s="26"/>
    </row>
    <row r="1417" spans="21:30" ht="20.25" customHeight="1" x14ac:dyDescent="0.25">
      <c r="U1417" s="17"/>
      <c r="AD1417" s="26"/>
    </row>
    <row r="1418" spans="21:30" ht="20.25" customHeight="1" x14ac:dyDescent="0.25">
      <c r="U1418" s="17"/>
      <c r="AD1418" s="26"/>
    </row>
    <row r="1419" spans="21:30" ht="20.25" customHeight="1" x14ac:dyDescent="0.25">
      <c r="U1419" s="17"/>
      <c r="AD1419" s="26"/>
    </row>
    <row r="1420" spans="21:30" ht="20.25" customHeight="1" x14ac:dyDescent="0.25">
      <c r="U1420" s="17"/>
      <c r="AD1420" s="26"/>
    </row>
    <row r="1421" spans="21:30" ht="20.25" customHeight="1" x14ac:dyDescent="0.25">
      <c r="U1421" s="17"/>
      <c r="AD1421" s="26"/>
    </row>
    <row r="1422" spans="21:30" ht="20.25" customHeight="1" x14ac:dyDescent="0.25">
      <c r="U1422" s="17"/>
      <c r="AD1422" s="26"/>
    </row>
    <row r="1423" spans="21:30" ht="20.25" customHeight="1" x14ac:dyDescent="0.25">
      <c r="U1423" s="17"/>
      <c r="AD1423" s="26"/>
    </row>
    <row r="1424" spans="21:30" ht="20.25" customHeight="1" x14ac:dyDescent="0.25">
      <c r="U1424" s="17"/>
      <c r="AD1424" s="26"/>
    </row>
    <row r="1425" spans="21:30" ht="20.25" customHeight="1" x14ac:dyDescent="0.25">
      <c r="U1425" s="17"/>
      <c r="AD1425" s="26"/>
    </row>
    <row r="1426" spans="21:30" ht="20.25" customHeight="1" x14ac:dyDescent="0.25">
      <c r="U1426" s="17"/>
      <c r="AD1426" s="26"/>
    </row>
    <row r="1427" spans="21:30" ht="20.25" customHeight="1" x14ac:dyDescent="0.25">
      <c r="U1427" s="17"/>
      <c r="AD1427" s="26"/>
    </row>
    <row r="1428" spans="21:30" ht="20.25" customHeight="1" x14ac:dyDescent="0.25">
      <c r="U1428" s="17"/>
      <c r="AD1428" s="26"/>
    </row>
    <row r="1429" spans="21:30" ht="20.25" customHeight="1" x14ac:dyDescent="0.25">
      <c r="U1429" s="17"/>
      <c r="AD1429" s="26"/>
    </row>
    <row r="1430" spans="21:30" ht="20.25" customHeight="1" x14ac:dyDescent="0.25">
      <c r="U1430" s="17"/>
      <c r="AD1430" s="26"/>
    </row>
    <row r="1431" spans="21:30" ht="20.25" customHeight="1" x14ac:dyDescent="0.25">
      <c r="U1431" s="17"/>
      <c r="AD1431" s="26"/>
    </row>
    <row r="1432" spans="21:30" ht="20.25" customHeight="1" x14ac:dyDescent="0.25">
      <c r="U1432" s="17"/>
      <c r="AD1432" s="26"/>
    </row>
    <row r="1433" spans="21:30" ht="20.25" customHeight="1" x14ac:dyDescent="0.25">
      <c r="U1433" s="17"/>
      <c r="AD1433" s="26"/>
    </row>
    <row r="1434" spans="21:30" ht="20.25" customHeight="1" x14ac:dyDescent="0.25">
      <c r="U1434" s="17"/>
      <c r="AD1434" s="26"/>
    </row>
    <row r="1435" spans="21:30" ht="20.25" customHeight="1" x14ac:dyDescent="0.25">
      <c r="U1435" s="17"/>
      <c r="AD1435" s="26"/>
    </row>
    <row r="1436" spans="21:30" ht="20.25" customHeight="1" x14ac:dyDescent="0.25">
      <c r="U1436" s="17"/>
      <c r="AD1436" s="26"/>
    </row>
    <row r="1437" spans="21:30" ht="20.25" customHeight="1" x14ac:dyDescent="0.25">
      <c r="U1437" s="17"/>
      <c r="AD1437" s="26"/>
    </row>
    <row r="1438" spans="21:30" ht="20.25" customHeight="1" x14ac:dyDescent="0.25">
      <c r="U1438" s="17"/>
      <c r="AD1438" s="26"/>
    </row>
    <row r="1439" spans="21:30" ht="20.25" customHeight="1" x14ac:dyDescent="0.25">
      <c r="U1439" s="17"/>
      <c r="AD1439" s="26"/>
    </row>
    <row r="1440" spans="21:30" ht="20.25" customHeight="1" x14ac:dyDescent="0.25">
      <c r="U1440" s="17"/>
      <c r="AD1440" s="26"/>
    </row>
    <row r="1441" spans="21:30" ht="20.25" customHeight="1" x14ac:dyDescent="0.25">
      <c r="U1441" s="17"/>
      <c r="AD1441" s="26"/>
    </row>
    <row r="1442" spans="21:30" ht="20.25" customHeight="1" x14ac:dyDescent="0.25">
      <c r="U1442" s="17"/>
      <c r="AD1442" s="26"/>
    </row>
    <row r="1443" spans="21:30" ht="20.25" customHeight="1" x14ac:dyDescent="0.25">
      <c r="U1443" s="17"/>
      <c r="AD1443" s="26"/>
    </row>
    <row r="1444" spans="21:30" ht="20.25" customHeight="1" x14ac:dyDescent="0.25">
      <c r="U1444" s="17"/>
      <c r="AD1444" s="26"/>
    </row>
    <row r="1445" spans="21:30" ht="20.25" customHeight="1" x14ac:dyDescent="0.25">
      <c r="U1445" s="17"/>
      <c r="AD1445" s="26"/>
    </row>
    <row r="1446" spans="21:30" ht="20.25" customHeight="1" x14ac:dyDescent="0.25">
      <c r="U1446" s="17"/>
      <c r="AD1446" s="26"/>
    </row>
    <row r="1447" spans="21:30" ht="20.25" customHeight="1" x14ac:dyDescent="0.25">
      <c r="U1447" s="17"/>
      <c r="AD1447" s="26"/>
    </row>
    <row r="1448" spans="21:30" ht="20.25" customHeight="1" x14ac:dyDescent="0.25">
      <c r="U1448" s="17"/>
      <c r="AD1448" s="26"/>
    </row>
    <row r="1449" spans="21:30" ht="20.25" customHeight="1" x14ac:dyDescent="0.25">
      <c r="U1449" s="17"/>
      <c r="AD1449" s="26"/>
    </row>
    <row r="1450" spans="21:30" ht="20.25" customHeight="1" x14ac:dyDescent="0.25">
      <c r="U1450" s="17"/>
      <c r="AD1450" s="26"/>
    </row>
    <row r="1451" spans="21:30" ht="20.25" customHeight="1" x14ac:dyDescent="0.25">
      <c r="U1451" s="17"/>
      <c r="AD1451" s="26"/>
    </row>
    <row r="1452" spans="21:30" ht="20.25" customHeight="1" x14ac:dyDescent="0.25">
      <c r="U1452" s="17"/>
      <c r="AD1452" s="26"/>
    </row>
    <row r="1453" spans="21:30" ht="20.25" customHeight="1" x14ac:dyDescent="0.25">
      <c r="U1453" s="17"/>
      <c r="AD1453" s="26"/>
    </row>
    <row r="1454" spans="21:30" ht="20.25" customHeight="1" x14ac:dyDescent="0.25">
      <c r="U1454" s="17"/>
      <c r="AD1454" s="26"/>
    </row>
    <row r="1455" spans="21:30" ht="20.25" customHeight="1" x14ac:dyDescent="0.25">
      <c r="U1455" s="17"/>
      <c r="AD1455" s="26"/>
    </row>
    <row r="1456" spans="21:30" ht="20.25" customHeight="1" x14ac:dyDescent="0.25">
      <c r="U1456" s="17"/>
      <c r="AD1456" s="26"/>
    </row>
    <row r="1457" spans="21:30" ht="20.25" customHeight="1" x14ac:dyDescent="0.25">
      <c r="U1457" s="17"/>
      <c r="AD1457" s="26"/>
    </row>
    <row r="1458" spans="21:30" ht="20.25" customHeight="1" x14ac:dyDescent="0.25">
      <c r="U1458" s="17"/>
      <c r="AD1458" s="26"/>
    </row>
    <row r="1459" spans="21:30" ht="20.25" customHeight="1" x14ac:dyDescent="0.25">
      <c r="U1459" s="17"/>
      <c r="AD1459" s="26"/>
    </row>
    <row r="1460" spans="21:30" ht="20.25" customHeight="1" x14ac:dyDescent="0.25">
      <c r="U1460" s="17"/>
      <c r="AD1460" s="26"/>
    </row>
    <row r="1461" spans="21:30" ht="20.25" customHeight="1" x14ac:dyDescent="0.25">
      <c r="U1461" s="17"/>
      <c r="AD1461" s="26"/>
    </row>
    <row r="1462" spans="21:30" ht="20.25" customHeight="1" x14ac:dyDescent="0.25">
      <c r="U1462" s="17"/>
      <c r="AD1462" s="26"/>
    </row>
    <row r="1463" spans="21:30" ht="20.25" customHeight="1" x14ac:dyDescent="0.25">
      <c r="U1463" s="17"/>
      <c r="AD1463" s="26"/>
    </row>
    <row r="1464" spans="21:30" ht="20.25" customHeight="1" x14ac:dyDescent="0.25">
      <c r="U1464" s="17"/>
      <c r="AD1464" s="26"/>
    </row>
    <row r="1465" spans="21:30" ht="20.25" customHeight="1" x14ac:dyDescent="0.25">
      <c r="U1465" s="17"/>
      <c r="AD1465" s="26"/>
    </row>
    <row r="1466" spans="21:30" ht="20.25" customHeight="1" x14ac:dyDescent="0.25">
      <c r="U1466" s="17"/>
      <c r="AD1466" s="26"/>
    </row>
    <row r="1467" spans="21:30" ht="20.25" customHeight="1" x14ac:dyDescent="0.25">
      <c r="U1467" s="17"/>
      <c r="AD1467" s="26"/>
    </row>
    <row r="1468" spans="21:30" ht="20.25" customHeight="1" x14ac:dyDescent="0.25">
      <c r="U1468" s="17"/>
      <c r="AD1468" s="26"/>
    </row>
    <row r="1469" spans="21:30" ht="20.25" customHeight="1" x14ac:dyDescent="0.25">
      <c r="U1469" s="17"/>
      <c r="AD1469" s="26"/>
    </row>
    <row r="1470" spans="21:30" ht="20.25" customHeight="1" x14ac:dyDescent="0.25">
      <c r="U1470" s="17"/>
      <c r="AD1470" s="26"/>
    </row>
    <row r="1471" spans="21:30" ht="20.25" customHeight="1" x14ac:dyDescent="0.25">
      <c r="U1471" s="17"/>
      <c r="AD1471" s="26"/>
    </row>
    <row r="1472" spans="21:30" ht="20.25" customHeight="1" x14ac:dyDescent="0.25">
      <c r="U1472" s="17"/>
      <c r="AD1472" s="26"/>
    </row>
    <row r="1473" spans="21:30" ht="20.25" customHeight="1" x14ac:dyDescent="0.25">
      <c r="U1473" s="17"/>
      <c r="AD1473" s="26"/>
    </row>
    <row r="1474" spans="21:30" ht="20.25" customHeight="1" x14ac:dyDescent="0.25">
      <c r="U1474" s="17"/>
      <c r="AD1474" s="26"/>
    </row>
    <row r="1475" spans="21:30" ht="20.25" customHeight="1" x14ac:dyDescent="0.25">
      <c r="U1475" s="17"/>
      <c r="AD1475" s="26"/>
    </row>
    <row r="1476" spans="21:30" ht="20.25" customHeight="1" x14ac:dyDescent="0.25">
      <c r="U1476" s="17"/>
      <c r="AD1476" s="26"/>
    </row>
    <row r="1477" spans="21:30" ht="20.25" customHeight="1" x14ac:dyDescent="0.25">
      <c r="U1477" s="17"/>
      <c r="AD1477" s="26"/>
    </row>
    <row r="1478" spans="21:30" ht="20.25" customHeight="1" x14ac:dyDescent="0.25">
      <c r="U1478" s="17"/>
      <c r="AD1478" s="26"/>
    </row>
    <row r="1479" spans="21:30" ht="20.25" customHeight="1" x14ac:dyDescent="0.25">
      <c r="U1479" s="17"/>
      <c r="AD1479" s="26"/>
    </row>
    <row r="1480" spans="21:30" ht="20.25" customHeight="1" x14ac:dyDescent="0.25">
      <c r="U1480" s="17"/>
      <c r="AD1480" s="26"/>
    </row>
    <row r="1481" spans="21:30" ht="20.25" customHeight="1" x14ac:dyDescent="0.25">
      <c r="U1481" s="17"/>
      <c r="AD1481" s="26"/>
    </row>
    <row r="1482" spans="21:30" ht="20.25" customHeight="1" x14ac:dyDescent="0.25">
      <c r="U1482" s="17"/>
      <c r="AD1482" s="26"/>
    </row>
    <row r="1483" spans="21:30" ht="20.25" customHeight="1" x14ac:dyDescent="0.25">
      <c r="U1483" s="17"/>
      <c r="AD1483" s="26"/>
    </row>
    <row r="1484" spans="21:30" ht="20.25" customHeight="1" x14ac:dyDescent="0.25">
      <c r="U1484" s="17"/>
      <c r="AD1484" s="26"/>
    </row>
    <row r="1485" spans="21:30" ht="20.25" customHeight="1" x14ac:dyDescent="0.25">
      <c r="U1485" s="17"/>
      <c r="AD1485" s="26"/>
    </row>
    <row r="1486" spans="21:30" ht="20.25" customHeight="1" x14ac:dyDescent="0.25">
      <c r="U1486" s="17"/>
      <c r="AD1486" s="26"/>
    </row>
    <row r="1487" spans="21:30" ht="20.25" customHeight="1" x14ac:dyDescent="0.25">
      <c r="U1487" s="17"/>
      <c r="AD1487" s="26"/>
    </row>
    <row r="1488" spans="21:30" ht="20.25" customHeight="1" x14ac:dyDescent="0.25">
      <c r="U1488" s="17"/>
      <c r="AD1488" s="26"/>
    </row>
    <row r="1489" spans="21:30" ht="20.25" customHeight="1" x14ac:dyDescent="0.25">
      <c r="U1489" s="17"/>
      <c r="AD1489" s="26"/>
    </row>
    <row r="1490" spans="21:30" ht="20.25" customHeight="1" x14ac:dyDescent="0.25">
      <c r="U1490" s="17"/>
      <c r="AD1490" s="26"/>
    </row>
    <row r="1491" spans="21:30" ht="20.25" customHeight="1" x14ac:dyDescent="0.25">
      <c r="U1491" s="17"/>
      <c r="AD1491" s="26"/>
    </row>
    <row r="1492" spans="21:30" ht="20.25" customHeight="1" x14ac:dyDescent="0.25">
      <c r="U1492" s="17"/>
      <c r="AD1492" s="26"/>
    </row>
    <row r="1493" spans="21:30" ht="20.25" customHeight="1" x14ac:dyDescent="0.25">
      <c r="U1493" s="17"/>
      <c r="AD1493" s="26"/>
    </row>
    <row r="1494" spans="21:30" ht="20.25" customHeight="1" x14ac:dyDescent="0.25">
      <c r="U1494" s="17"/>
      <c r="AD1494" s="26"/>
    </row>
    <row r="1495" spans="21:30" ht="20.25" customHeight="1" x14ac:dyDescent="0.25">
      <c r="U1495" s="17"/>
      <c r="AD1495" s="26"/>
    </row>
    <row r="1496" spans="21:30" ht="20.25" customHeight="1" x14ac:dyDescent="0.25">
      <c r="U1496" s="17"/>
      <c r="AD1496" s="26"/>
    </row>
    <row r="1497" spans="21:30" ht="20.25" customHeight="1" x14ac:dyDescent="0.25">
      <c r="U1497" s="17"/>
      <c r="AD1497" s="26"/>
    </row>
    <row r="1498" spans="21:30" ht="20.25" customHeight="1" x14ac:dyDescent="0.25">
      <c r="U1498" s="17"/>
      <c r="AD1498" s="26"/>
    </row>
    <row r="1499" spans="21:30" ht="20.25" customHeight="1" x14ac:dyDescent="0.25">
      <c r="U1499" s="17"/>
      <c r="AD1499" s="26"/>
    </row>
    <row r="1500" spans="21:30" ht="20.25" customHeight="1" x14ac:dyDescent="0.25">
      <c r="U1500" s="17"/>
      <c r="AD1500" s="26"/>
    </row>
    <row r="1501" spans="21:30" ht="20.25" customHeight="1" x14ac:dyDescent="0.25">
      <c r="U1501" s="17"/>
      <c r="AD1501" s="26"/>
    </row>
    <row r="1502" spans="21:30" ht="20.25" customHeight="1" x14ac:dyDescent="0.25">
      <c r="U1502" s="17"/>
      <c r="AD1502" s="26"/>
    </row>
    <row r="1503" spans="21:30" ht="20.25" customHeight="1" x14ac:dyDescent="0.25">
      <c r="U1503" s="17"/>
      <c r="AD1503" s="26"/>
    </row>
    <row r="1504" spans="21:30" ht="20.25" customHeight="1" x14ac:dyDescent="0.25">
      <c r="U1504" s="17"/>
      <c r="AD1504" s="26"/>
    </row>
    <row r="1505" spans="21:30" ht="20.25" customHeight="1" x14ac:dyDescent="0.25">
      <c r="U1505" s="17"/>
      <c r="AD1505" s="26"/>
    </row>
    <row r="1506" spans="21:30" ht="20.25" customHeight="1" x14ac:dyDescent="0.25">
      <c r="U1506" s="17"/>
      <c r="AD1506" s="26"/>
    </row>
    <row r="1507" spans="21:30" ht="20.25" customHeight="1" x14ac:dyDescent="0.25">
      <c r="U1507" s="17"/>
      <c r="AD1507" s="26"/>
    </row>
    <row r="1508" spans="21:30" ht="20.25" customHeight="1" x14ac:dyDescent="0.25">
      <c r="U1508" s="17"/>
      <c r="AD1508" s="26"/>
    </row>
    <row r="1509" spans="21:30" ht="20.25" customHeight="1" x14ac:dyDescent="0.25">
      <c r="U1509" s="17"/>
      <c r="AD1509" s="26"/>
    </row>
    <row r="1510" spans="21:30" ht="20.25" customHeight="1" x14ac:dyDescent="0.25">
      <c r="U1510" s="17"/>
      <c r="AD1510" s="26"/>
    </row>
    <row r="1511" spans="21:30" ht="20.25" customHeight="1" x14ac:dyDescent="0.25">
      <c r="U1511" s="17"/>
      <c r="AD1511" s="26"/>
    </row>
    <row r="1512" spans="21:30" ht="20.25" customHeight="1" x14ac:dyDescent="0.25">
      <c r="U1512" s="17"/>
      <c r="AD1512" s="26"/>
    </row>
    <row r="1513" spans="21:30" ht="20.25" customHeight="1" x14ac:dyDescent="0.25">
      <c r="U1513" s="17"/>
      <c r="AD1513" s="26"/>
    </row>
    <row r="1514" spans="21:30" ht="20.25" customHeight="1" x14ac:dyDescent="0.25">
      <c r="U1514" s="17"/>
      <c r="AD1514" s="26"/>
    </row>
    <row r="1515" spans="21:30" ht="20.25" customHeight="1" x14ac:dyDescent="0.25">
      <c r="U1515" s="17"/>
      <c r="AD1515" s="26"/>
    </row>
    <row r="1516" spans="21:30" ht="20.25" customHeight="1" x14ac:dyDescent="0.25">
      <c r="U1516" s="17"/>
      <c r="AD1516" s="26"/>
    </row>
    <row r="1517" spans="21:30" ht="20.25" customHeight="1" x14ac:dyDescent="0.25">
      <c r="U1517" s="17"/>
      <c r="AD1517" s="26"/>
    </row>
    <row r="1518" spans="21:30" ht="20.25" customHeight="1" x14ac:dyDescent="0.25">
      <c r="U1518" s="17"/>
      <c r="AD1518" s="26"/>
    </row>
    <row r="1519" spans="21:30" ht="20.25" customHeight="1" x14ac:dyDescent="0.25">
      <c r="U1519" s="17"/>
      <c r="AD1519" s="26"/>
    </row>
    <row r="1520" spans="21:30" ht="20.25" customHeight="1" x14ac:dyDescent="0.25">
      <c r="U1520" s="17"/>
      <c r="AD1520" s="26"/>
    </row>
    <row r="1521" spans="21:30" ht="20.25" customHeight="1" x14ac:dyDescent="0.25">
      <c r="U1521" s="17"/>
      <c r="AD1521" s="26"/>
    </row>
    <row r="1522" spans="21:30" ht="20.25" customHeight="1" x14ac:dyDescent="0.25">
      <c r="U1522" s="17"/>
      <c r="AD1522" s="26"/>
    </row>
    <row r="1523" spans="21:30" ht="20.25" customHeight="1" x14ac:dyDescent="0.25">
      <c r="U1523" s="17"/>
      <c r="AD1523" s="26"/>
    </row>
    <row r="1524" spans="21:30" ht="20.25" customHeight="1" x14ac:dyDescent="0.25">
      <c r="U1524" s="17"/>
      <c r="AD1524" s="26"/>
    </row>
    <row r="1525" spans="21:30" ht="20.25" customHeight="1" x14ac:dyDescent="0.25">
      <c r="U1525" s="17"/>
      <c r="AD1525" s="26"/>
    </row>
    <row r="1526" spans="21:30" ht="20.25" customHeight="1" x14ac:dyDescent="0.25">
      <c r="U1526" s="17"/>
      <c r="AD1526" s="26"/>
    </row>
    <row r="1527" spans="21:30" ht="20.25" customHeight="1" x14ac:dyDescent="0.25">
      <c r="U1527" s="17"/>
      <c r="AD1527" s="26"/>
    </row>
    <row r="1528" spans="21:30" ht="20.25" customHeight="1" x14ac:dyDescent="0.25">
      <c r="U1528" s="17"/>
      <c r="AD1528" s="26"/>
    </row>
    <row r="1529" spans="21:30" ht="20.25" customHeight="1" x14ac:dyDescent="0.25">
      <c r="U1529" s="17"/>
      <c r="AD1529" s="26"/>
    </row>
    <row r="1530" spans="21:30" ht="20.25" customHeight="1" x14ac:dyDescent="0.25">
      <c r="U1530" s="17"/>
      <c r="AD1530" s="26"/>
    </row>
    <row r="1531" spans="21:30" ht="20.25" customHeight="1" x14ac:dyDescent="0.25">
      <c r="U1531" s="17"/>
      <c r="AD1531" s="26"/>
    </row>
    <row r="1532" spans="21:30" ht="20.25" customHeight="1" x14ac:dyDescent="0.25">
      <c r="U1532" s="17"/>
      <c r="AD1532" s="26"/>
    </row>
    <row r="1533" spans="21:30" ht="20.25" customHeight="1" x14ac:dyDescent="0.25">
      <c r="U1533" s="17"/>
      <c r="AD1533" s="26"/>
    </row>
    <row r="1534" spans="21:30" ht="20.25" customHeight="1" x14ac:dyDescent="0.25">
      <c r="U1534" s="17"/>
      <c r="AD1534" s="26"/>
    </row>
    <row r="1535" spans="21:30" ht="20.25" customHeight="1" x14ac:dyDescent="0.25">
      <c r="U1535" s="17"/>
      <c r="AD1535" s="26"/>
    </row>
    <row r="1536" spans="21:30" ht="20.25" customHeight="1" x14ac:dyDescent="0.25">
      <c r="U1536" s="17"/>
      <c r="AD1536" s="26"/>
    </row>
    <row r="1537" spans="21:30" ht="20.25" customHeight="1" x14ac:dyDescent="0.25">
      <c r="U1537" s="17"/>
      <c r="AD1537" s="26"/>
    </row>
    <row r="1538" spans="21:30" ht="20.25" customHeight="1" x14ac:dyDescent="0.25">
      <c r="U1538" s="17"/>
      <c r="AD1538" s="26"/>
    </row>
    <row r="1539" spans="21:30" ht="20.25" customHeight="1" x14ac:dyDescent="0.25">
      <c r="U1539" s="17"/>
      <c r="AD1539" s="26"/>
    </row>
    <row r="1540" spans="21:30" ht="20.25" customHeight="1" x14ac:dyDescent="0.25">
      <c r="U1540" s="17"/>
      <c r="AD1540" s="26"/>
    </row>
    <row r="1541" spans="21:30" ht="20.25" customHeight="1" x14ac:dyDescent="0.25">
      <c r="U1541" s="17"/>
      <c r="AD1541" s="26"/>
    </row>
    <row r="1542" spans="21:30" ht="20.25" customHeight="1" x14ac:dyDescent="0.25">
      <c r="U1542" s="17"/>
      <c r="AD1542" s="26"/>
    </row>
    <row r="1543" spans="21:30" ht="20.25" customHeight="1" x14ac:dyDescent="0.25">
      <c r="U1543" s="17"/>
      <c r="AD1543" s="26"/>
    </row>
    <row r="1544" spans="21:30" ht="20.25" customHeight="1" x14ac:dyDescent="0.25">
      <c r="U1544" s="17"/>
      <c r="AD1544" s="26"/>
    </row>
    <row r="1545" spans="21:30" ht="20.25" customHeight="1" x14ac:dyDescent="0.25">
      <c r="U1545" s="17"/>
      <c r="AD1545" s="26"/>
    </row>
    <row r="1546" spans="21:30" ht="20.25" customHeight="1" x14ac:dyDescent="0.25">
      <c r="U1546" s="17"/>
      <c r="AD1546" s="26"/>
    </row>
    <row r="1547" spans="21:30" ht="20.25" customHeight="1" x14ac:dyDescent="0.25">
      <c r="U1547" s="17"/>
      <c r="AD1547" s="26"/>
    </row>
    <row r="1548" spans="21:30" ht="20.25" customHeight="1" x14ac:dyDescent="0.25">
      <c r="U1548" s="17"/>
      <c r="AD1548" s="26"/>
    </row>
    <row r="1549" spans="21:30" ht="20.25" customHeight="1" x14ac:dyDescent="0.25">
      <c r="U1549" s="17"/>
      <c r="AD1549" s="26"/>
    </row>
    <row r="1550" spans="21:30" ht="20.25" customHeight="1" x14ac:dyDescent="0.25">
      <c r="U1550" s="17"/>
      <c r="AD1550" s="26"/>
    </row>
    <row r="1551" spans="21:30" ht="20.25" customHeight="1" x14ac:dyDescent="0.25">
      <c r="U1551" s="17"/>
      <c r="AD1551" s="26"/>
    </row>
    <row r="1552" spans="21:30" ht="20.25" customHeight="1" x14ac:dyDescent="0.25">
      <c r="U1552" s="17"/>
      <c r="AD1552" s="26"/>
    </row>
    <row r="1553" spans="21:30" ht="20.25" customHeight="1" x14ac:dyDescent="0.25">
      <c r="U1553" s="17"/>
      <c r="AD1553" s="26"/>
    </row>
    <row r="1554" spans="21:30" ht="20.25" customHeight="1" x14ac:dyDescent="0.25">
      <c r="U1554" s="17"/>
      <c r="AD1554" s="26"/>
    </row>
    <row r="1555" spans="21:30" ht="20.25" customHeight="1" x14ac:dyDescent="0.25">
      <c r="U1555" s="17"/>
      <c r="AD1555" s="26"/>
    </row>
    <row r="1556" spans="21:30" ht="20.25" customHeight="1" x14ac:dyDescent="0.25">
      <c r="U1556" s="17"/>
      <c r="AD1556" s="26"/>
    </row>
    <row r="1557" spans="21:30" ht="20.25" customHeight="1" x14ac:dyDescent="0.25">
      <c r="U1557" s="17"/>
      <c r="AD1557" s="26"/>
    </row>
    <row r="1558" spans="21:30" ht="20.25" customHeight="1" x14ac:dyDescent="0.25">
      <c r="U1558" s="17"/>
      <c r="AD1558" s="26"/>
    </row>
    <row r="1559" spans="21:30" ht="20.25" customHeight="1" x14ac:dyDescent="0.25">
      <c r="U1559" s="17"/>
      <c r="AD1559" s="26"/>
    </row>
    <row r="1560" spans="21:30" ht="20.25" customHeight="1" x14ac:dyDescent="0.25">
      <c r="U1560" s="17"/>
      <c r="AD1560" s="26"/>
    </row>
    <row r="1561" spans="21:30" ht="20.25" customHeight="1" x14ac:dyDescent="0.25">
      <c r="U1561" s="17"/>
      <c r="AD1561" s="26"/>
    </row>
    <row r="1562" spans="21:30" ht="20.25" customHeight="1" x14ac:dyDescent="0.25">
      <c r="U1562" s="17"/>
      <c r="AD1562" s="26"/>
    </row>
    <row r="1563" spans="21:30" ht="20.25" customHeight="1" x14ac:dyDescent="0.25">
      <c r="U1563" s="17"/>
      <c r="AD1563" s="26"/>
    </row>
    <row r="1564" spans="21:30" ht="20.25" customHeight="1" x14ac:dyDescent="0.25">
      <c r="U1564" s="17"/>
      <c r="AD1564" s="26"/>
    </row>
    <row r="1565" spans="21:30" ht="20.25" customHeight="1" x14ac:dyDescent="0.25">
      <c r="U1565" s="17"/>
      <c r="AD1565" s="26"/>
    </row>
    <row r="1566" spans="21:30" ht="20.25" customHeight="1" x14ac:dyDescent="0.25">
      <c r="U1566" s="17"/>
      <c r="AD1566" s="26"/>
    </row>
    <row r="1567" spans="21:30" ht="20.25" customHeight="1" x14ac:dyDescent="0.25">
      <c r="U1567" s="17"/>
      <c r="AD1567" s="26"/>
    </row>
    <row r="1568" spans="21:30" ht="20.25" customHeight="1" x14ac:dyDescent="0.25">
      <c r="U1568" s="17"/>
      <c r="AD1568" s="26"/>
    </row>
    <row r="1569" spans="21:30" ht="20.25" customHeight="1" x14ac:dyDescent="0.25">
      <c r="U1569" s="17"/>
      <c r="AD1569" s="26"/>
    </row>
    <row r="1570" spans="21:30" ht="20.25" customHeight="1" x14ac:dyDescent="0.25">
      <c r="U1570" s="17"/>
      <c r="AD1570" s="26"/>
    </row>
    <row r="1571" spans="21:30" ht="20.25" customHeight="1" x14ac:dyDescent="0.25">
      <c r="U1571" s="17"/>
      <c r="AD1571" s="26"/>
    </row>
    <row r="1572" spans="21:30" ht="20.25" customHeight="1" x14ac:dyDescent="0.25">
      <c r="U1572" s="17"/>
      <c r="AD1572" s="26"/>
    </row>
    <row r="1573" spans="21:30" ht="20.25" customHeight="1" x14ac:dyDescent="0.25">
      <c r="U1573" s="17"/>
      <c r="AD1573" s="26"/>
    </row>
    <row r="1574" spans="21:30" ht="20.25" customHeight="1" x14ac:dyDescent="0.25">
      <c r="U1574" s="17"/>
      <c r="AD1574" s="26"/>
    </row>
    <row r="1575" spans="21:30" ht="20.25" customHeight="1" x14ac:dyDescent="0.25">
      <c r="U1575" s="17"/>
      <c r="AD1575" s="26"/>
    </row>
    <row r="1576" spans="21:30" ht="20.25" customHeight="1" x14ac:dyDescent="0.25">
      <c r="U1576" s="17"/>
      <c r="AD1576" s="26"/>
    </row>
    <row r="1577" spans="21:30" ht="20.25" customHeight="1" x14ac:dyDescent="0.25">
      <c r="U1577" s="17"/>
      <c r="AD1577" s="26"/>
    </row>
    <row r="1578" spans="21:30" ht="20.25" customHeight="1" x14ac:dyDescent="0.25">
      <c r="U1578" s="17"/>
      <c r="AD1578" s="26"/>
    </row>
    <row r="1579" spans="21:30" ht="20.25" customHeight="1" x14ac:dyDescent="0.25">
      <c r="U1579" s="17"/>
      <c r="AD1579" s="26"/>
    </row>
    <row r="1580" spans="21:30" ht="20.25" customHeight="1" x14ac:dyDescent="0.25">
      <c r="U1580" s="17"/>
      <c r="AD1580" s="26"/>
    </row>
    <row r="1581" spans="21:30" ht="20.25" customHeight="1" x14ac:dyDescent="0.25">
      <c r="U1581" s="17"/>
      <c r="AD1581" s="26"/>
    </row>
    <row r="1582" spans="21:30" ht="20.25" customHeight="1" x14ac:dyDescent="0.25">
      <c r="U1582" s="17"/>
      <c r="AD1582" s="26"/>
    </row>
    <row r="1583" spans="21:30" ht="20.25" customHeight="1" x14ac:dyDescent="0.25">
      <c r="U1583" s="17"/>
      <c r="AD1583" s="26"/>
    </row>
    <row r="1584" spans="21:30" ht="20.25" customHeight="1" x14ac:dyDescent="0.25">
      <c r="U1584" s="17"/>
      <c r="AD1584" s="26"/>
    </row>
    <row r="1585" spans="21:30" ht="20.25" customHeight="1" x14ac:dyDescent="0.25">
      <c r="U1585" s="17"/>
      <c r="AD1585" s="26"/>
    </row>
    <row r="1586" spans="21:30" ht="20.25" customHeight="1" x14ac:dyDescent="0.25">
      <c r="U1586" s="17"/>
      <c r="AD1586" s="26"/>
    </row>
    <row r="1587" spans="21:30" ht="20.25" customHeight="1" x14ac:dyDescent="0.25">
      <c r="U1587" s="17"/>
      <c r="AD1587" s="26"/>
    </row>
    <row r="1588" spans="21:30" ht="20.25" customHeight="1" x14ac:dyDescent="0.25">
      <c r="U1588" s="17"/>
      <c r="AD1588" s="26"/>
    </row>
    <row r="1589" spans="21:30" ht="20.25" customHeight="1" x14ac:dyDescent="0.25">
      <c r="U1589" s="17"/>
      <c r="AD1589" s="26"/>
    </row>
    <row r="1590" spans="21:30" ht="20.25" customHeight="1" x14ac:dyDescent="0.25">
      <c r="U1590" s="17"/>
      <c r="AD1590" s="26"/>
    </row>
    <row r="1591" spans="21:30" ht="20.25" customHeight="1" x14ac:dyDescent="0.25">
      <c r="U1591" s="17"/>
      <c r="AD1591" s="26"/>
    </row>
    <row r="1592" spans="21:30" ht="20.25" customHeight="1" x14ac:dyDescent="0.25">
      <c r="U1592" s="17"/>
      <c r="AD1592" s="26"/>
    </row>
    <row r="1593" spans="21:30" ht="20.25" customHeight="1" x14ac:dyDescent="0.25">
      <c r="U1593" s="17"/>
      <c r="AD1593" s="26"/>
    </row>
    <row r="1594" spans="21:30" ht="20.25" customHeight="1" x14ac:dyDescent="0.25">
      <c r="U1594" s="17"/>
      <c r="AD1594" s="26"/>
    </row>
    <row r="1595" spans="21:30" ht="20.25" customHeight="1" x14ac:dyDescent="0.25">
      <c r="U1595" s="17"/>
      <c r="AD1595" s="26"/>
    </row>
    <row r="1596" spans="21:30" ht="20.25" customHeight="1" x14ac:dyDescent="0.25">
      <c r="U1596" s="17"/>
      <c r="AD1596" s="26"/>
    </row>
    <row r="1597" spans="21:30" ht="20.25" customHeight="1" x14ac:dyDescent="0.25">
      <c r="U1597" s="17"/>
      <c r="AD1597" s="26"/>
    </row>
    <row r="1598" spans="21:30" ht="20.25" customHeight="1" x14ac:dyDescent="0.25">
      <c r="U1598" s="17"/>
      <c r="AD1598" s="26"/>
    </row>
    <row r="1599" spans="21:30" ht="20.25" customHeight="1" x14ac:dyDescent="0.25">
      <c r="U1599" s="17"/>
      <c r="AD1599" s="26"/>
    </row>
    <row r="1600" spans="21:30" ht="20.25" customHeight="1" x14ac:dyDescent="0.25">
      <c r="U1600" s="17"/>
      <c r="AD1600" s="26"/>
    </row>
    <row r="1601" spans="21:30" ht="20.25" customHeight="1" x14ac:dyDescent="0.25">
      <c r="U1601" s="17"/>
      <c r="AD1601" s="26"/>
    </row>
    <row r="1602" spans="21:30" ht="20.25" customHeight="1" x14ac:dyDescent="0.25">
      <c r="U1602" s="17"/>
      <c r="AD1602" s="26"/>
    </row>
    <row r="1603" spans="21:30" ht="20.25" customHeight="1" x14ac:dyDescent="0.25">
      <c r="U1603" s="17"/>
      <c r="AD1603" s="26"/>
    </row>
    <row r="1604" spans="21:30" ht="20.25" customHeight="1" x14ac:dyDescent="0.25">
      <c r="U1604" s="17"/>
      <c r="AD1604" s="26"/>
    </row>
    <row r="1605" spans="21:30" ht="20.25" customHeight="1" x14ac:dyDescent="0.25">
      <c r="U1605" s="17"/>
      <c r="AD1605" s="26"/>
    </row>
    <row r="1606" spans="21:30" ht="20.25" customHeight="1" x14ac:dyDescent="0.25">
      <c r="U1606" s="17"/>
      <c r="AD1606" s="26"/>
    </row>
    <row r="1607" spans="21:30" ht="20.25" customHeight="1" x14ac:dyDescent="0.25">
      <c r="U1607" s="17"/>
      <c r="AD1607" s="26"/>
    </row>
    <row r="1608" spans="21:30" ht="20.25" customHeight="1" x14ac:dyDescent="0.25">
      <c r="U1608" s="17"/>
      <c r="AD1608" s="26"/>
    </row>
    <row r="1609" spans="21:30" ht="20.25" customHeight="1" x14ac:dyDescent="0.25">
      <c r="U1609" s="17"/>
      <c r="AD1609" s="26"/>
    </row>
    <row r="1610" spans="21:30" ht="20.25" customHeight="1" x14ac:dyDescent="0.25">
      <c r="U1610" s="17"/>
      <c r="AD1610" s="26"/>
    </row>
    <row r="1611" spans="21:30" ht="20.25" customHeight="1" x14ac:dyDescent="0.25">
      <c r="U1611" s="17"/>
      <c r="AD1611" s="26"/>
    </row>
    <row r="1612" spans="21:30" ht="20.25" customHeight="1" x14ac:dyDescent="0.25">
      <c r="U1612" s="17"/>
      <c r="AD1612" s="26"/>
    </row>
    <row r="1613" spans="21:30" ht="20.25" customHeight="1" x14ac:dyDescent="0.25">
      <c r="U1613" s="17"/>
      <c r="AD1613" s="26"/>
    </row>
    <row r="1614" spans="21:30" ht="20.25" customHeight="1" x14ac:dyDescent="0.25">
      <c r="U1614" s="17"/>
      <c r="AD1614" s="26"/>
    </row>
    <row r="1615" spans="21:30" ht="20.25" customHeight="1" x14ac:dyDescent="0.25">
      <c r="U1615" s="17"/>
      <c r="AD1615" s="26"/>
    </row>
    <row r="1616" spans="21:30" ht="20.25" customHeight="1" x14ac:dyDescent="0.25">
      <c r="U1616" s="17"/>
      <c r="AD1616" s="26"/>
    </row>
    <row r="1617" spans="21:30" ht="20.25" customHeight="1" x14ac:dyDescent="0.25">
      <c r="U1617" s="17"/>
      <c r="AD1617" s="26"/>
    </row>
    <row r="1618" spans="21:30" ht="20.25" customHeight="1" x14ac:dyDescent="0.25">
      <c r="U1618" s="17"/>
      <c r="AD1618" s="26"/>
    </row>
    <row r="1619" spans="21:30" ht="20.25" customHeight="1" x14ac:dyDescent="0.25">
      <c r="U1619" s="17"/>
      <c r="AD1619" s="26"/>
    </row>
    <row r="1620" spans="21:30" ht="20.25" customHeight="1" x14ac:dyDescent="0.25">
      <c r="U1620" s="17"/>
      <c r="AD1620" s="26"/>
    </row>
    <row r="1621" spans="21:30" ht="20.25" customHeight="1" x14ac:dyDescent="0.25">
      <c r="U1621" s="17"/>
      <c r="AD1621" s="26"/>
    </row>
    <row r="1622" spans="21:30" ht="20.25" customHeight="1" x14ac:dyDescent="0.25">
      <c r="U1622" s="17"/>
      <c r="AD1622" s="26"/>
    </row>
    <row r="1623" spans="21:30" ht="20.25" customHeight="1" x14ac:dyDescent="0.25">
      <c r="U1623" s="17"/>
      <c r="AD1623" s="26"/>
    </row>
    <row r="1624" spans="21:30" ht="20.25" customHeight="1" x14ac:dyDescent="0.25">
      <c r="U1624" s="17"/>
      <c r="AD1624" s="26"/>
    </row>
    <row r="1625" spans="21:30" ht="20.25" customHeight="1" x14ac:dyDescent="0.25">
      <c r="U1625" s="17"/>
      <c r="AD1625" s="26"/>
    </row>
    <row r="1626" spans="21:30" ht="20.25" customHeight="1" x14ac:dyDescent="0.25">
      <c r="U1626" s="17"/>
      <c r="AD1626" s="26"/>
    </row>
    <row r="1627" spans="21:30" ht="20.25" customHeight="1" x14ac:dyDescent="0.25">
      <c r="U1627" s="17"/>
      <c r="AD1627" s="26"/>
    </row>
    <row r="1628" spans="21:30" ht="20.25" customHeight="1" x14ac:dyDescent="0.25">
      <c r="U1628" s="17"/>
      <c r="AD1628" s="26"/>
    </row>
    <row r="1629" spans="21:30" ht="20.25" customHeight="1" x14ac:dyDescent="0.25">
      <c r="U1629" s="17"/>
      <c r="AD1629" s="26"/>
    </row>
    <row r="1630" spans="21:30" ht="20.25" customHeight="1" x14ac:dyDescent="0.25">
      <c r="U1630" s="17"/>
      <c r="AD1630" s="26"/>
    </row>
    <row r="1631" spans="21:30" ht="20.25" customHeight="1" x14ac:dyDescent="0.25">
      <c r="U1631" s="17"/>
      <c r="AD1631" s="26"/>
    </row>
    <row r="1632" spans="21:30" ht="20.25" customHeight="1" x14ac:dyDescent="0.25">
      <c r="U1632" s="17"/>
      <c r="AD1632" s="26"/>
    </row>
    <row r="1633" spans="21:30" ht="20.25" customHeight="1" x14ac:dyDescent="0.25">
      <c r="U1633" s="17"/>
      <c r="AD1633" s="26"/>
    </row>
    <row r="1634" spans="21:30" ht="20.25" customHeight="1" x14ac:dyDescent="0.25">
      <c r="U1634" s="17"/>
      <c r="AD1634" s="26"/>
    </row>
    <row r="1635" spans="21:30" ht="20.25" customHeight="1" x14ac:dyDescent="0.25">
      <c r="U1635" s="17"/>
      <c r="AD1635" s="26"/>
    </row>
    <row r="1636" spans="21:30" ht="20.25" customHeight="1" x14ac:dyDescent="0.25">
      <c r="U1636" s="17"/>
      <c r="AD1636" s="26"/>
    </row>
    <row r="1637" spans="21:30" ht="20.25" customHeight="1" x14ac:dyDescent="0.25">
      <c r="U1637" s="17"/>
      <c r="AD1637" s="26"/>
    </row>
    <row r="1638" spans="21:30" ht="20.25" customHeight="1" x14ac:dyDescent="0.25">
      <c r="U1638" s="17"/>
      <c r="AD1638" s="26"/>
    </row>
    <row r="1639" spans="21:30" ht="20.25" customHeight="1" x14ac:dyDescent="0.25">
      <c r="U1639" s="17"/>
      <c r="AD1639" s="26"/>
    </row>
    <row r="1640" spans="21:30" ht="20.25" customHeight="1" x14ac:dyDescent="0.25">
      <c r="U1640" s="17"/>
      <c r="AD1640" s="26"/>
    </row>
    <row r="1641" spans="21:30" ht="20.25" customHeight="1" x14ac:dyDescent="0.25">
      <c r="U1641" s="17"/>
      <c r="AD1641" s="26"/>
    </row>
    <row r="1642" spans="21:30" ht="20.25" customHeight="1" x14ac:dyDescent="0.25">
      <c r="U1642" s="17"/>
      <c r="AD1642" s="26"/>
    </row>
    <row r="1643" spans="21:30" ht="20.25" customHeight="1" x14ac:dyDescent="0.25">
      <c r="U1643" s="17"/>
      <c r="AD1643" s="26"/>
    </row>
    <row r="1644" spans="21:30" ht="20.25" customHeight="1" x14ac:dyDescent="0.25">
      <c r="U1644" s="17"/>
      <c r="AD1644" s="26"/>
    </row>
    <row r="1645" spans="21:30" ht="20.25" customHeight="1" x14ac:dyDescent="0.25">
      <c r="U1645" s="17"/>
      <c r="AD1645" s="26"/>
    </row>
    <row r="1646" spans="21:30" ht="20.25" customHeight="1" x14ac:dyDescent="0.25">
      <c r="U1646" s="17"/>
      <c r="AD1646" s="26"/>
    </row>
    <row r="1647" spans="21:30" ht="20.25" customHeight="1" x14ac:dyDescent="0.25">
      <c r="U1647" s="17"/>
      <c r="AD1647" s="26"/>
    </row>
    <row r="1648" spans="21:30" ht="20.25" customHeight="1" x14ac:dyDescent="0.25">
      <c r="U1648" s="17"/>
      <c r="AD1648" s="26"/>
    </row>
    <row r="1649" spans="21:30" ht="20.25" customHeight="1" x14ac:dyDescent="0.25">
      <c r="U1649" s="17"/>
      <c r="AD1649" s="26"/>
    </row>
    <row r="1650" spans="21:30" ht="20.25" customHeight="1" x14ac:dyDescent="0.25">
      <c r="U1650" s="17"/>
      <c r="AD1650" s="26"/>
    </row>
    <row r="1651" spans="21:30" ht="20.25" customHeight="1" x14ac:dyDescent="0.25">
      <c r="U1651" s="17"/>
      <c r="AD1651" s="26"/>
    </row>
    <row r="1652" spans="21:30" ht="20.25" customHeight="1" x14ac:dyDescent="0.25">
      <c r="U1652" s="17"/>
      <c r="AD1652" s="26"/>
    </row>
    <row r="1653" spans="21:30" ht="20.25" customHeight="1" x14ac:dyDescent="0.25">
      <c r="U1653" s="17"/>
      <c r="AD1653" s="26"/>
    </row>
    <row r="1654" spans="21:30" ht="20.25" customHeight="1" x14ac:dyDescent="0.25">
      <c r="U1654" s="17"/>
      <c r="AD1654" s="26"/>
    </row>
    <row r="1655" spans="21:30" ht="20.25" customHeight="1" x14ac:dyDescent="0.25">
      <c r="U1655" s="17"/>
      <c r="AD1655" s="26"/>
    </row>
    <row r="1656" spans="21:30" ht="20.25" customHeight="1" x14ac:dyDescent="0.25">
      <c r="U1656" s="17"/>
      <c r="AD1656" s="26"/>
    </row>
    <row r="1657" spans="21:30" ht="20.25" customHeight="1" x14ac:dyDescent="0.25">
      <c r="U1657" s="17"/>
      <c r="AD1657" s="26"/>
    </row>
    <row r="1658" spans="21:30" ht="20.25" customHeight="1" x14ac:dyDescent="0.25">
      <c r="U1658" s="17"/>
      <c r="AD1658" s="26"/>
    </row>
    <row r="1659" spans="21:30" ht="20.25" customHeight="1" x14ac:dyDescent="0.25">
      <c r="U1659" s="17"/>
      <c r="AD1659" s="26"/>
    </row>
    <row r="1660" spans="21:30" ht="20.25" customHeight="1" x14ac:dyDescent="0.25">
      <c r="U1660" s="17"/>
      <c r="AD1660" s="26"/>
    </row>
    <row r="1661" spans="21:30" ht="20.25" customHeight="1" x14ac:dyDescent="0.25">
      <c r="U1661" s="17"/>
      <c r="AD1661" s="26"/>
    </row>
    <row r="1662" spans="21:30" ht="20.25" customHeight="1" x14ac:dyDescent="0.25">
      <c r="U1662" s="17"/>
      <c r="AD1662" s="26"/>
    </row>
    <row r="1663" spans="21:30" ht="20.25" customHeight="1" x14ac:dyDescent="0.25">
      <c r="U1663" s="17"/>
      <c r="AD1663" s="26"/>
    </row>
    <row r="1664" spans="21:30" ht="20.25" customHeight="1" x14ac:dyDescent="0.25">
      <c r="U1664" s="17"/>
      <c r="AD1664" s="26"/>
    </row>
    <row r="1665" spans="21:30" ht="20.25" customHeight="1" x14ac:dyDescent="0.25">
      <c r="U1665" s="17"/>
      <c r="AD1665" s="26"/>
    </row>
    <row r="1666" spans="21:30" ht="20.25" customHeight="1" x14ac:dyDescent="0.25">
      <c r="U1666" s="17"/>
      <c r="AD1666" s="26"/>
    </row>
    <row r="1667" spans="21:30" ht="20.25" customHeight="1" x14ac:dyDescent="0.25">
      <c r="U1667" s="17"/>
      <c r="AD1667" s="26"/>
    </row>
    <row r="1668" spans="21:30" ht="20.25" customHeight="1" x14ac:dyDescent="0.25">
      <c r="U1668" s="17"/>
      <c r="AD1668" s="26"/>
    </row>
    <row r="1669" spans="21:30" ht="20.25" customHeight="1" x14ac:dyDescent="0.25">
      <c r="U1669" s="17"/>
      <c r="AD1669" s="26"/>
    </row>
    <row r="1670" spans="21:30" ht="20.25" customHeight="1" x14ac:dyDescent="0.25">
      <c r="U1670" s="17"/>
      <c r="AD1670" s="26"/>
    </row>
    <row r="1671" spans="21:30" ht="20.25" customHeight="1" x14ac:dyDescent="0.25">
      <c r="U1671" s="17"/>
      <c r="AD1671" s="26"/>
    </row>
    <row r="1672" spans="21:30" ht="20.25" customHeight="1" x14ac:dyDescent="0.25">
      <c r="U1672" s="17"/>
      <c r="AD1672" s="26"/>
    </row>
    <row r="1673" spans="21:30" ht="20.25" customHeight="1" x14ac:dyDescent="0.25">
      <c r="U1673" s="17"/>
      <c r="AD1673" s="26"/>
    </row>
    <row r="1674" spans="21:30" ht="20.25" customHeight="1" x14ac:dyDescent="0.25">
      <c r="U1674" s="17"/>
      <c r="AD1674" s="26"/>
    </row>
    <row r="1675" spans="21:30" ht="20.25" customHeight="1" x14ac:dyDescent="0.25">
      <c r="U1675" s="17"/>
      <c r="AD1675" s="26"/>
    </row>
    <row r="1676" spans="21:30" ht="20.25" customHeight="1" x14ac:dyDescent="0.25">
      <c r="U1676" s="17"/>
      <c r="AD1676" s="26"/>
    </row>
    <row r="1677" spans="21:30" ht="20.25" customHeight="1" x14ac:dyDescent="0.25">
      <c r="U1677" s="17"/>
      <c r="AD1677" s="26"/>
    </row>
    <row r="1678" spans="21:30" ht="20.25" customHeight="1" x14ac:dyDescent="0.25">
      <c r="U1678" s="17"/>
      <c r="AD1678" s="26"/>
    </row>
    <row r="1679" spans="21:30" ht="20.25" customHeight="1" x14ac:dyDescent="0.25">
      <c r="U1679" s="17"/>
      <c r="AD1679" s="26"/>
    </row>
    <row r="1680" spans="21:30" ht="20.25" customHeight="1" x14ac:dyDescent="0.25">
      <c r="U1680" s="17"/>
      <c r="AD1680" s="26"/>
    </row>
    <row r="1681" spans="21:30" ht="20.25" customHeight="1" x14ac:dyDescent="0.25">
      <c r="U1681" s="17"/>
      <c r="AD1681" s="26"/>
    </row>
    <row r="1682" spans="21:30" ht="20.25" customHeight="1" x14ac:dyDescent="0.25">
      <c r="U1682" s="17"/>
      <c r="AD1682" s="26"/>
    </row>
    <row r="1683" spans="21:30" ht="20.25" customHeight="1" x14ac:dyDescent="0.25">
      <c r="U1683" s="17"/>
      <c r="AD1683" s="26"/>
    </row>
    <row r="1684" spans="21:30" ht="20.25" customHeight="1" x14ac:dyDescent="0.25">
      <c r="U1684" s="17"/>
      <c r="AD1684" s="26"/>
    </row>
    <row r="1685" spans="21:30" ht="20.25" customHeight="1" x14ac:dyDescent="0.25">
      <c r="U1685" s="17"/>
      <c r="AD1685" s="26"/>
    </row>
    <row r="1686" spans="21:30" ht="20.25" customHeight="1" x14ac:dyDescent="0.25">
      <c r="U1686" s="17"/>
      <c r="AD1686" s="26"/>
    </row>
    <row r="1687" spans="21:30" ht="20.25" customHeight="1" x14ac:dyDescent="0.25">
      <c r="U1687" s="17"/>
      <c r="AD1687" s="26"/>
    </row>
    <row r="1688" spans="21:30" ht="20.25" customHeight="1" x14ac:dyDescent="0.25">
      <c r="U1688" s="17"/>
      <c r="AD1688" s="26"/>
    </row>
    <row r="1689" spans="21:30" ht="20.25" customHeight="1" x14ac:dyDescent="0.25">
      <c r="U1689" s="17"/>
      <c r="AD1689" s="26"/>
    </row>
    <row r="1690" spans="21:30" ht="20.25" customHeight="1" x14ac:dyDescent="0.25">
      <c r="U1690" s="17"/>
      <c r="AD1690" s="26"/>
    </row>
    <row r="1691" spans="21:30" ht="20.25" customHeight="1" x14ac:dyDescent="0.25">
      <c r="U1691" s="17"/>
      <c r="AD1691" s="26"/>
    </row>
    <row r="1692" spans="21:30" ht="20.25" customHeight="1" x14ac:dyDescent="0.25">
      <c r="U1692" s="17"/>
      <c r="AD1692" s="26"/>
    </row>
    <row r="1693" spans="21:30" ht="20.25" customHeight="1" x14ac:dyDescent="0.25">
      <c r="U1693" s="17"/>
      <c r="AD1693" s="26"/>
    </row>
    <row r="1694" spans="21:30" ht="20.25" customHeight="1" x14ac:dyDescent="0.25">
      <c r="U1694" s="17"/>
      <c r="AD1694" s="26"/>
    </row>
    <row r="1695" spans="21:30" ht="20.25" customHeight="1" x14ac:dyDescent="0.25">
      <c r="U1695" s="17"/>
      <c r="AD1695" s="26"/>
    </row>
    <row r="1696" spans="21:30" ht="20.25" customHeight="1" x14ac:dyDescent="0.25">
      <c r="U1696" s="17"/>
      <c r="AD1696" s="26"/>
    </row>
    <row r="1697" spans="21:30" ht="20.25" customHeight="1" x14ac:dyDescent="0.25">
      <c r="U1697" s="17"/>
      <c r="AD1697" s="26"/>
    </row>
    <row r="1698" spans="21:30" ht="20.25" customHeight="1" x14ac:dyDescent="0.25">
      <c r="U1698" s="17"/>
      <c r="AD1698" s="26"/>
    </row>
    <row r="1699" spans="21:30" ht="20.25" customHeight="1" x14ac:dyDescent="0.25">
      <c r="U1699" s="17"/>
      <c r="AD1699" s="26"/>
    </row>
    <row r="1700" spans="21:30" ht="20.25" customHeight="1" x14ac:dyDescent="0.25">
      <c r="U1700" s="17"/>
      <c r="AD1700" s="26"/>
    </row>
    <row r="1701" spans="21:30" ht="20.25" customHeight="1" x14ac:dyDescent="0.25">
      <c r="U1701" s="17"/>
      <c r="AD1701" s="26"/>
    </row>
    <row r="1702" spans="21:30" ht="20.25" customHeight="1" x14ac:dyDescent="0.25">
      <c r="U1702" s="17"/>
      <c r="AD1702" s="26"/>
    </row>
    <row r="1703" spans="21:30" ht="20.25" customHeight="1" x14ac:dyDescent="0.25">
      <c r="U1703" s="17"/>
      <c r="AD1703" s="26"/>
    </row>
    <row r="1704" spans="21:30" ht="20.25" customHeight="1" x14ac:dyDescent="0.25">
      <c r="U1704" s="17"/>
      <c r="AD1704" s="26"/>
    </row>
    <row r="1705" spans="21:30" ht="20.25" customHeight="1" x14ac:dyDescent="0.25">
      <c r="U1705" s="17"/>
      <c r="AD1705" s="26"/>
    </row>
    <row r="1706" spans="21:30" ht="20.25" customHeight="1" x14ac:dyDescent="0.25">
      <c r="U1706" s="17"/>
      <c r="AD1706" s="26"/>
    </row>
    <row r="1707" spans="21:30" ht="20.25" customHeight="1" x14ac:dyDescent="0.25">
      <c r="U1707" s="17"/>
      <c r="AD1707" s="26"/>
    </row>
    <row r="1708" spans="21:30" ht="20.25" customHeight="1" x14ac:dyDescent="0.25">
      <c r="U1708" s="17"/>
      <c r="AD1708" s="26"/>
    </row>
    <row r="1709" spans="21:30" ht="20.25" customHeight="1" x14ac:dyDescent="0.25">
      <c r="U1709" s="17"/>
      <c r="AD1709" s="26"/>
    </row>
    <row r="1710" spans="21:30" ht="20.25" customHeight="1" x14ac:dyDescent="0.25">
      <c r="U1710" s="17"/>
      <c r="AD1710" s="26"/>
    </row>
    <row r="1711" spans="21:30" ht="20.25" customHeight="1" x14ac:dyDescent="0.25">
      <c r="U1711" s="17"/>
      <c r="AD1711" s="26"/>
    </row>
    <row r="1712" spans="21:30" ht="20.25" customHeight="1" x14ac:dyDescent="0.25">
      <c r="U1712" s="17"/>
      <c r="AD1712" s="26"/>
    </row>
    <row r="1713" spans="21:30" ht="20.25" customHeight="1" x14ac:dyDescent="0.25">
      <c r="U1713" s="17"/>
      <c r="AD1713" s="26"/>
    </row>
    <row r="1714" spans="21:30" ht="20.25" customHeight="1" x14ac:dyDescent="0.25">
      <c r="U1714" s="17"/>
      <c r="AD1714" s="26"/>
    </row>
    <row r="1715" spans="21:30" ht="20.25" customHeight="1" x14ac:dyDescent="0.25">
      <c r="U1715" s="17"/>
      <c r="AD1715" s="26"/>
    </row>
    <row r="1716" spans="21:30" ht="20.25" customHeight="1" x14ac:dyDescent="0.25">
      <c r="U1716" s="17"/>
      <c r="AD1716" s="26"/>
    </row>
    <row r="1717" spans="21:30" ht="20.25" customHeight="1" x14ac:dyDescent="0.25">
      <c r="U1717" s="17"/>
      <c r="AD1717" s="26"/>
    </row>
    <row r="1718" spans="21:30" ht="20.25" customHeight="1" x14ac:dyDescent="0.25">
      <c r="U1718" s="17"/>
      <c r="AD1718" s="26"/>
    </row>
    <row r="1719" spans="21:30" ht="20.25" customHeight="1" x14ac:dyDescent="0.25">
      <c r="U1719" s="17"/>
      <c r="AD1719" s="26"/>
    </row>
    <row r="1720" spans="21:30" ht="20.25" customHeight="1" x14ac:dyDescent="0.25">
      <c r="U1720" s="17"/>
      <c r="AD1720" s="26"/>
    </row>
    <row r="1721" spans="21:30" ht="20.25" customHeight="1" x14ac:dyDescent="0.25">
      <c r="U1721" s="17"/>
      <c r="AD1721" s="26"/>
    </row>
    <row r="1722" spans="21:30" ht="20.25" customHeight="1" x14ac:dyDescent="0.25">
      <c r="U1722" s="17"/>
      <c r="AD1722" s="26"/>
    </row>
    <row r="1723" spans="21:30" ht="20.25" customHeight="1" x14ac:dyDescent="0.25">
      <c r="U1723" s="17"/>
      <c r="AD1723" s="26"/>
    </row>
    <row r="1724" spans="21:30" ht="20.25" customHeight="1" x14ac:dyDescent="0.25">
      <c r="U1724" s="17"/>
      <c r="AD1724" s="26"/>
    </row>
    <row r="1725" spans="21:30" ht="20.25" customHeight="1" x14ac:dyDescent="0.25">
      <c r="U1725" s="17"/>
      <c r="AD1725" s="26"/>
    </row>
    <row r="1726" spans="21:30" ht="20.25" customHeight="1" x14ac:dyDescent="0.25">
      <c r="U1726" s="17"/>
      <c r="AD1726" s="26"/>
    </row>
    <row r="1727" spans="21:30" ht="20.25" customHeight="1" x14ac:dyDescent="0.25">
      <c r="U1727" s="17"/>
      <c r="AD1727" s="26"/>
    </row>
    <row r="1728" spans="21:30" ht="20.25" customHeight="1" x14ac:dyDescent="0.25">
      <c r="U1728" s="17"/>
      <c r="AD1728" s="26"/>
    </row>
    <row r="1729" spans="21:30" ht="20.25" customHeight="1" x14ac:dyDescent="0.25">
      <c r="U1729" s="17"/>
      <c r="AD1729" s="26"/>
    </row>
    <row r="1730" spans="21:30" ht="20.25" customHeight="1" x14ac:dyDescent="0.25">
      <c r="U1730" s="17"/>
      <c r="AD1730" s="26"/>
    </row>
    <row r="1731" spans="21:30" ht="20.25" customHeight="1" x14ac:dyDescent="0.25">
      <c r="U1731" s="17"/>
      <c r="AD1731" s="26"/>
    </row>
    <row r="1732" spans="21:30" ht="20.25" customHeight="1" x14ac:dyDescent="0.25">
      <c r="U1732" s="17"/>
      <c r="AD1732" s="26"/>
    </row>
    <row r="1733" spans="21:30" ht="20.25" customHeight="1" x14ac:dyDescent="0.25">
      <c r="U1733" s="17"/>
      <c r="AD1733" s="26"/>
    </row>
    <row r="1734" spans="21:30" ht="20.25" customHeight="1" x14ac:dyDescent="0.25">
      <c r="U1734" s="17"/>
      <c r="AD1734" s="26"/>
    </row>
    <row r="1735" spans="21:30" ht="20.25" customHeight="1" x14ac:dyDescent="0.25">
      <c r="U1735" s="17"/>
      <c r="AD1735" s="26"/>
    </row>
    <row r="1736" spans="21:30" ht="20.25" customHeight="1" x14ac:dyDescent="0.25">
      <c r="U1736" s="17"/>
      <c r="AD1736" s="26"/>
    </row>
    <row r="1737" spans="21:30" ht="20.25" customHeight="1" x14ac:dyDescent="0.25">
      <c r="U1737" s="17"/>
      <c r="AD1737" s="26"/>
    </row>
    <row r="1738" spans="21:30" ht="20.25" customHeight="1" x14ac:dyDescent="0.25">
      <c r="U1738" s="17"/>
      <c r="AD1738" s="26"/>
    </row>
    <row r="1739" spans="21:30" ht="20.25" customHeight="1" x14ac:dyDescent="0.25">
      <c r="U1739" s="17"/>
      <c r="AD1739" s="26"/>
    </row>
    <row r="1740" spans="21:30" ht="20.25" customHeight="1" x14ac:dyDescent="0.25">
      <c r="U1740" s="17"/>
      <c r="AD1740" s="26"/>
    </row>
    <row r="1741" spans="21:30" ht="20.25" customHeight="1" x14ac:dyDescent="0.25">
      <c r="U1741" s="17"/>
      <c r="AD1741" s="26"/>
    </row>
    <row r="1742" spans="21:30" ht="20.25" customHeight="1" x14ac:dyDescent="0.25">
      <c r="U1742" s="17"/>
      <c r="AD1742" s="26"/>
    </row>
    <row r="1743" spans="21:30" ht="20.25" customHeight="1" x14ac:dyDescent="0.25">
      <c r="U1743" s="17"/>
      <c r="AD1743" s="26"/>
    </row>
    <row r="1744" spans="21:30" ht="20.25" customHeight="1" x14ac:dyDescent="0.25">
      <c r="U1744" s="17"/>
      <c r="AD1744" s="26"/>
    </row>
    <row r="1745" spans="21:30" ht="20.25" customHeight="1" x14ac:dyDescent="0.25">
      <c r="U1745" s="17"/>
      <c r="AD1745" s="26"/>
    </row>
    <row r="1746" spans="21:30" ht="20.25" customHeight="1" x14ac:dyDescent="0.25">
      <c r="U1746" s="17"/>
      <c r="AD1746" s="26"/>
    </row>
    <row r="1747" spans="21:30" ht="20.25" customHeight="1" x14ac:dyDescent="0.25">
      <c r="U1747" s="17"/>
      <c r="AD1747" s="26"/>
    </row>
    <row r="1748" spans="21:30" ht="20.25" customHeight="1" x14ac:dyDescent="0.25">
      <c r="U1748" s="17"/>
      <c r="AD1748" s="26"/>
    </row>
    <row r="1749" spans="21:30" ht="20.25" customHeight="1" x14ac:dyDescent="0.25">
      <c r="U1749" s="17"/>
      <c r="AD1749" s="26"/>
    </row>
    <row r="1750" spans="21:30" ht="20.25" customHeight="1" x14ac:dyDescent="0.25">
      <c r="U1750" s="17"/>
      <c r="AD1750" s="26"/>
    </row>
    <row r="1751" spans="21:30" ht="20.25" customHeight="1" x14ac:dyDescent="0.25">
      <c r="U1751" s="17"/>
      <c r="AD1751" s="26"/>
    </row>
    <row r="1752" spans="21:30" ht="20.25" customHeight="1" x14ac:dyDescent="0.25">
      <c r="U1752" s="17"/>
      <c r="AD1752" s="26"/>
    </row>
    <row r="1753" spans="21:30" ht="20.25" customHeight="1" x14ac:dyDescent="0.25">
      <c r="U1753" s="17"/>
      <c r="AD1753" s="26"/>
    </row>
    <row r="1754" spans="21:30" ht="20.25" customHeight="1" x14ac:dyDescent="0.25">
      <c r="U1754" s="17"/>
      <c r="AD1754" s="26"/>
    </row>
    <row r="1755" spans="21:30" ht="20.25" customHeight="1" x14ac:dyDescent="0.25">
      <c r="U1755" s="17"/>
      <c r="AD1755" s="26"/>
    </row>
    <row r="1756" spans="21:30" ht="20.25" customHeight="1" x14ac:dyDescent="0.25">
      <c r="U1756" s="17"/>
      <c r="AD1756" s="26"/>
    </row>
    <row r="1757" spans="21:30" ht="20.25" customHeight="1" x14ac:dyDescent="0.25">
      <c r="U1757" s="17"/>
      <c r="AD1757" s="26"/>
    </row>
    <row r="1758" spans="21:30" ht="20.25" customHeight="1" x14ac:dyDescent="0.25">
      <c r="U1758" s="17"/>
      <c r="AD1758" s="26"/>
    </row>
    <row r="1759" spans="21:30" ht="20.25" customHeight="1" x14ac:dyDescent="0.25">
      <c r="U1759" s="17"/>
      <c r="AD1759" s="26"/>
    </row>
    <row r="1760" spans="21:30" ht="20.25" customHeight="1" x14ac:dyDescent="0.25">
      <c r="U1760" s="17"/>
      <c r="AD1760" s="26"/>
    </row>
    <row r="1761" spans="21:30" ht="20.25" customHeight="1" x14ac:dyDescent="0.25">
      <c r="U1761" s="17"/>
      <c r="AD1761" s="26"/>
    </row>
    <row r="1762" spans="21:30" ht="20.25" customHeight="1" x14ac:dyDescent="0.25">
      <c r="U1762" s="17"/>
      <c r="AD1762" s="26"/>
    </row>
    <row r="1763" spans="21:30" ht="20.25" customHeight="1" x14ac:dyDescent="0.25">
      <c r="U1763" s="17"/>
      <c r="AD1763" s="26"/>
    </row>
    <row r="1764" spans="21:30" ht="20.25" customHeight="1" x14ac:dyDescent="0.25">
      <c r="U1764" s="17"/>
      <c r="AD1764" s="26"/>
    </row>
    <row r="1765" spans="21:30" ht="20.25" customHeight="1" x14ac:dyDescent="0.25">
      <c r="U1765" s="17"/>
      <c r="AD1765" s="26"/>
    </row>
    <row r="1766" spans="21:30" ht="20.25" customHeight="1" x14ac:dyDescent="0.25">
      <c r="U1766" s="17"/>
      <c r="AD1766" s="26"/>
    </row>
    <row r="1767" spans="21:30" ht="20.25" customHeight="1" x14ac:dyDescent="0.25">
      <c r="U1767" s="17"/>
      <c r="AD1767" s="26"/>
    </row>
    <row r="1768" spans="21:30" ht="20.25" customHeight="1" x14ac:dyDescent="0.25">
      <c r="U1768" s="17"/>
      <c r="AD1768" s="26"/>
    </row>
    <row r="1769" spans="21:30" ht="20.25" customHeight="1" x14ac:dyDescent="0.25">
      <c r="U1769" s="17"/>
      <c r="AD1769" s="26"/>
    </row>
    <row r="1770" spans="21:30" ht="20.25" customHeight="1" x14ac:dyDescent="0.25">
      <c r="U1770" s="17"/>
      <c r="AD1770" s="26"/>
    </row>
    <row r="1771" spans="21:30" ht="20.25" customHeight="1" x14ac:dyDescent="0.25">
      <c r="U1771" s="17"/>
      <c r="AD1771" s="26"/>
    </row>
    <row r="1772" spans="21:30" ht="20.25" customHeight="1" x14ac:dyDescent="0.25">
      <c r="U1772" s="17"/>
      <c r="AD1772" s="26"/>
    </row>
    <row r="1773" spans="21:30" ht="20.25" customHeight="1" x14ac:dyDescent="0.25">
      <c r="U1773" s="17"/>
      <c r="AD1773" s="26"/>
    </row>
    <row r="1774" spans="21:30" ht="20.25" customHeight="1" x14ac:dyDescent="0.25">
      <c r="U1774" s="17"/>
      <c r="AD1774" s="26"/>
    </row>
    <row r="1775" spans="21:30" ht="20.25" customHeight="1" x14ac:dyDescent="0.25">
      <c r="U1775" s="17"/>
      <c r="AD1775" s="26"/>
    </row>
    <row r="1776" spans="21:30" ht="20.25" customHeight="1" x14ac:dyDescent="0.25">
      <c r="U1776" s="17"/>
      <c r="AD1776" s="26"/>
    </row>
    <row r="1777" spans="21:30" ht="20.25" customHeight="1" x14ac:dyDescent="0.25">
      <c r="U1777" s="17"/>
      <c r="AD1777" s="26"/>
    </row>
    <row r="1778" spans="21:30" ht="20.25" customHeight="1" x14ac:dyDescent="0.25">
      <c r="U1778" s="17"/>
      <c r="AD1778" s="26"/>
    </row>
    <row r="1779" spans="21:30" ht="20.25" customHeight="1" x14ac:dyDescent="0.25">
      <c r="U1779" s="17"/>
      <c r="AD1779" s="26"/>
    </row>
    <row r="1780" spans="21:30" ht="20.25" customHeight="1" x14ac:dyDescent="0.25">
      <c r="U1780" s="17"/>
      <c r="AD1780" s="26"/>
    </row>
    <row r="1781" spans="21:30" ht="20.25" customHeight="1" x14ac:dyDescent="0.25">
      <c r="U1781" s="17"/>
      <c r="AD1781" s="26"/>
    </row>
    <row r="1782" spans="21:30" ht="20.25" customHeight="1" x14ac:dyDescent="0.25">
      <c r="U1782" s="17"/>
      <c r="AD1782" s="26"/>
    </row>
    <row r="1783" spans="21:30" ht="20.25" customHeight="1" x14ac:dyDescent="0.25">
      <c r="U1783" s="17"/>
      <c r="AD1783" s="26"/>
    </row>
    <row r="1784" spans="21:30" ht="20.25" customHeight="1" x14ac:dyDescent="0.25">
      <c r="U1784" s="17"/>
      <c r="AD1784" s="26"/>
    </row>
    <row r="1785" spans="21:30" ht="20.25" customHeight="1" x14ac:dyDescent="0.25">
      <c r="U1785" s="17"/>
      <c r="AD1785" s="26"/>
    </row>
    <row r="1786" spans="21:30" ht="20.25" customHeight="1" x14ac:dyDescent="0.25">
      <c r="U1786" s="17"/>
      <c r="AD1786" s="26"/>
    </row>
    <row r="1787" spans="21:30" ht="20.25" customHeight="1" x14ac:dyDescent="0.25">
      <c r="U1787" s="17"/>
      <c r="AD1787" s="26"/>
    </row>
    <row r="1788" spans="21:30" ht="20.25" customHeight="1" x14ac:dyDescent="0.25">
      <c r="AD1788" s="26"/>
    </row>
    <row r="1789" spans="21:30" ht="20.25" customHeight="1" x14ac:dyDescent="0.25">
      <c r="AD1789" s="26"/>
    </row>
    <row r="1790" spans="21:30" ht="20.25" customHeight="1" x14ac:dyDescent="0.25">
      <c r="AD1790" s="26"/>
    </row>
    <row r="1791" spans="21:30" ht="20.25" customHeight="1" x14ac:dyDescent="0.25">
      <c r="AD1791" s="26"/>
    </row>
    <row r="1792" spans="21:30" ht="20.25" customHeight="1" x14ac:dyDescent="0.25">
      <c r="AD1792" s="26"/>
    </row>
    <row r="1793" spans="30:30" ht="20.25" customHeight="1" x14ac:dyDescent="0.25">
      <c r="AD1793" s="26"/>
    </row>
    <row r="1794" spans="30:30" ht="20.25" customHeight="1" x14ac:dyDescent="0.25">
      <c r="AD1794" s="26"/>
    </row>
    <row r="1795" spans="30:30" ht="20.25" customHeight="1" x14ac:dyDescent="0.25">
      <c r="AD1795" s="26"/>
    </row>
    <row r="1796" spans="30:30" ht="20.25" customHeight="1" x14ac:dyDescent="0.25">
      <c r="AD1796" s="26"/>
    </row>
    <row r="1797" spans="30:30" ht="20.25" customHeight="1" x14ac:dyDescent="0.25">
      <c r="AD1797" s="26"/>
    </row>
    <row r="1798" spans="30:30" ht="20.25" customHeight="1" x14ac:dyDescent="0.25">
      <c r="AD1798" s="26"/>
    </row>
    <row r="1799" spans="30:30" ht="20.25" customHeight="1" x14ac:dyDescent="0.25">
      <c r="AD1799" s="26"/>
    </row>
    <row r="1800" spans="30:30" ht="20.25" customHeight="1" x14ac:dyDescent="0.25">
      <c r="AD1800" s="26"/>
    </row>
    <row r="1801" spans="30:30" ht="20.25" customHeight="1" x14ac:dyDescent="0.25">
      <c r="AD1801" s="26"/>
    </row>
    <row r="1802" spans="30:30" ht="20.25" customHeight="1" x14ac:dyDescent="0.25">
      <c r="AD1802" s="26"/>
    </row>
    <row r="1803" spans="30:30" ht="20.25" customHeight="1" x14ac:dyDescent="0.25">
      <c r="AD1803" s="26"/>
    </row>
    <row r="1804" spans="30:30" ht="20.25" customHeight="1" x14ac:dyDescent="0.25">
      <c r="AD1804" s="26"/>
    </row>
    <row r="1805" spans="30:30" ht="20.25" customHeight="1" x14ac:dyDescent="0.25">
      <c r="AD1805" s="26"/>
    </row>
    <row r="1806" spans="30:30" ht="20.25" customHeight="1" x14ac:dyDescent="0.25">
      <c r="AD1806" s="26"/>
    </row>
    <row r="1807" spans="30:30" ht="20.25" customHeight="1" x14ac:dyDescent="0.25">
      <c r="AD1807" s="26"/>
    </row>
    <row r="1808" spans="30:30" ht="20.25" customHeight="1" x14ac:dyDescent="0.25">
      <c r="AD1808" s="26"/>
    </row>
    <row r="1809" spans="30:30" ht="20.25" customHeight="1" x14ac:dyDescent="0.25">
      <c r="AD1809" s="26"/>
    </row>
    <row r="1810" spans="30:30" ht="20.25" customHeight="1" x14ac:dyDescent="0.25">
      <c r="AD1810" s="26"/>
    </row>
    <row r="1811" spans="30:30" ht="20.25" customHeight="1" x14ac:dyDescent="0.25">
      <c r="AD1811" s="26"/>
    </row>
    <row r="1812" spans="30:30" ht="20.25" customHeight="1" x14ac:dyDescent="0.25">
      <c r="AD1812" s="26"/>
    </row>
    <row r="1813" spans="30:30" ht="20.25" customHeight="1" x14ac:dyDescent="0.25">
      <c r="AD1813" s="26"/>
    </row>
    <row r="1814" spans="30:30" ht="20.25" customHeight="1" x14ac:dyDescent="0.25">
      <c r="AD1814" s="26"/>
    </row>
    <row r="1815" spans="30:30" ht="20.25" customHeight="1" x14ac:dyDescent="0.25">
      <c r="AD1815" s="26"/>
    </row>
    <row r="1816" spans="30:30" ht="20.25" customHeight="1" x14ac:dyDescent="0.25">
      <c r="AD1816" s="26"/>
    </row>
    <row r="1817" spans="30:30" ht="20.25" customHeight="1" x14ac:dyDescent="0.25">
      <c r="AD1817" s="26"/>
    </row>
    <row r="1818" spans="30:30" ht="20.25" customHeight="1" x14ac:dyDescent="0.25">
      <c r="AD1818" s="26"/>
    </row>
    <row r="1819" spans="30:30" ht="20.25" customHeight="1" x14ac:dyDescent="0.25">
      <c r="AD1819" s="26"/>
    </row>
    <row r="1820" spans="30:30" ht="20.25" customHeight="1" x14ac:dyDescent="0.25">
      <c r="AD1820" s="26"/>
    </row>
    <row r="1821" spans="30:30" ht="20.25" customHeight="1" x14ac:dyDescent="0.25">
      <c r="AD1821" s="26"/>
    </row>
    <row r="1822" spans="30:30" ht="20.25" customHeight="1" x14ac:dyDescent="0.25">
      <c r="AD1822" s="26"/>
    </row>
    <row r="1823" spans="30:30" ht="20.25" customHeight="1" x14ac:dyDescent="0.25">
      <c r="AD1823" s="26"/>
    </row>
    <row r="1824" spans="30:30" ht="20.25" customHeight="1" x14ac:dyDescent="0.25">
      <c r="AD1824" s="26"/>
    </row>
    <row r="1825" spans="30:30" ht="20.25" customHeight="1" x14ac:dyDescent="0.25">
      <c r="AD1825" s="26"/>
    </row>
    <row r="1826" spans="30:30" ht="20.25" customHeight="1" x14ac:dyDescent="0.25">
      <c r="AD1826" s="26"/>
    </row>
    <row r="1827" spans="30:30" ht="20.25" customHeight="1" x14ac:dyDescent="0.25">
      <c r="AD1827" s="26"/>
    </row>
    <row r="1828" spans="30:30" ht="20.25" customHeight="1" x14ac:dyDescent="0.25">
      <c r="AD1828" s="26"/>
    </row>
    <row r="1829" spans="30:30" ht="20.25" customHeight="1" x14ac:dyDescent="0.25">
      <c r="AD1829" s="26"/>
    </row>
    <row r="1830" spans="30:30" ht="20.25" customHeight="1" x14ac:dyDescent="0.25">
      <c r="AD1830" s="26"/>
    </row>
    <row r="1831" spans="30:30" ht="20.25" customHeight="1" x14ac:dyDescent="0.25">
      <c r="AD1831" s="26"/>
    </row>
    <row r="1832" spans="30:30" ht="20.25" customHeight="1" x14ac:dyDescent="0.25">
      <c r="AD1832" s="26"/>
    </row>
    <row r="1833" spans="30:30" ht="20.25" customHeight="1" x14ac:dyDescent="0.25">
      <c r="AD1833" s="26"/>
    </row>
    <row r="1834" spans="30:30" ht="20.25" customHeight="1" x14ac:dyDescent="0.25">
      <c r="AD1834" s="26"/>
    </row>
    <row r="1835" spans="30:30" ht="20.25" customHeight="1" x14ac:dyDescent="0.25">
      <c r="AD1835" s="26"/>
    </row>
    <row r="1836" spans="30:30" ht="20.25" customHeight="1" x14ac:dyDescent="0.25">
      <c r="AD1836" s="26"/>
    </row>
    <row r="1837" spans="30:30" ht="20.25" customHeight="1" x14ac:dyDescent="0.25">
      <c r="AD1837" s="26"/>
    </row>
    <row r="1838" spans="30:30" ht="20.25" customHeight="1" x14ac:dyDescent="0.25">
      <c r="AD1838" s="26"/>
    </row>
    <row r="1839" spans="30:30" ht="20.25" customHeight="1" x14ac:dyDescent="0.25">
      <c r="AD1839" s="26"/>
    </row>
    <row r="1840" spans="30:30" ht="20.25" customHeight="1" x14ac:dyDescent="0.25">
      <c r="AD1840" s="26"/>
    </row>
    <row r="1841" spans="30:30" ht="20.25" customHeight="1" x14ac:dyDescent="0.25">
      <c r="AD1841" s="26"/>
    </row>
    <row r="1842" spans="30:30" ht="20.25" customHeight="1" x14ac:dyDescent="0.25">
      <c r="AD1842" s="26"/>
    </row>
    <row r="1843" spans="30:30" ht="20.25" customHeight="1" x14ac:dyDescent="0.25">
      <c r="AD1843" s="26"/>
    </row>
    <row r="1844" spans="30:30" ht="20.25" customHeight="1" x14ac:dyDescent="0.25">
      <c r="AD1844" s="26"/>
    </row>
    <row r="1845" spans="30:30" ht="20.25" customHeight="1" x14ac:dyDescent="0.25">
      <c r="AD1845" s="26"/>
    </row>
    <row r="1846" spans="30:30" ht="20.25" customHeight="1" x14ac:dyDescent="0.25">
      <c r="AD1846" s="26"/>
    </row>
    <row r="1847" spans="30:30" ht="20.25" customHeight="1" x14ac:dyDescent="0.25">
      <c r="AD1847" s="26"/>
    </row>
    <row r="1848" spans="30:30" ht="20.25" customHeight="1" x14ac:dyDescent="0.25">
      <c r="AD1848" s="26"/>
    </row>
    <row r="1849" spans="30:30" ht="20.25" customHeight="1" x14ac:dyDescent="0.25">
      <c r="AD1849" s="26"/>
    </row>
    <row r="1850" spans="30:30" ht="20.25" customHeight="1" x14ac:dyDescent="0.25">
      <c r="AD1850" s="26"/>
    </row>
    <row r="1851" spans="30:30" ht="20.25" customHeight="1" x14ac:dyDescent="0.25">
      <c r="AD1851" s="26"/>
    </row>
    <row r="1852" spans="30:30" ht="20.25" customHeight="1" x14ac:dyDescent="0.25">
      <c r="AD1852" s="26"/>
    </row>
    <row r="1853" spans="30:30" ht="20.25" customHeight="1" x14ac:dyDescent="0.25">
      <c r="AD1853" s="26"/>
    </row>
    <row r="1854" spans="30:30" ht="20.25" customHeight="1" x14ac:dyDescent="0.25">
      <c r="AD1854" s="26"/>
    </row>
    <row r="1855" spans="30:30" ht="20.25" customHeight="1" x14ac:dyDescent="0.25">
      <c r="AD1855" s="26"/>
    </row>
    <row r="1856" spans="30:30" ht="20.25" customHeight="1" x14ac:dyDescent="0.25">
      <c r="AD1856" s="26"/>
    </row>
    <row r="1857" spans="30:30" ht="20.25" customHeight="1" x14ac:dyDescent="0.25">
      <c r="AD1857" s="26"/>
    </row>
    <row r="1858" spans="30:30" ht="20.25" customHeight="1" x14ac:dyDescent="0.25">
      <c r="AD1858" s="26"/>
    </row>
    <row r="1859" spans="30:30" ht="20.25" customHeight="1" x14ac:dyDescent="0.25">
      <c r="AD1859" s="26"/>
    </row>
    <row r="1860" spans="30:30" ht="20.25" customHeight="1" x14ac:dyDescent="0.25">
      <c r="AD1860" s="26"/>
    </row>
    <row r="1861" spans="30:30" ht="20.25" customHeight="1" x14ac:dyDescent="0.25">
      <c r="AD1861" s="26"/>
    </row>
    <row r="1862" spans="30:30" ht="20.25" customHeight="1" x14ac:dyDescent="0.25">
      <c r="AD1862" s="26"/>
    </row>
    <row r="1863" spans="30:30" ht="20.25" customHeight="1" x14ac:dyDescent="0.25">
      <c r="AD1863" s="26"/>
    </row>
    <row r="1864" spans="30:30" ht="20.25" customHeight="1" x14ac:dyDescent="0.25">
      <c r="AD1864" s="26"/>
    </row>
    <row r="1865" spans="30:30" ht="20.25" customHeight="1" x14ac:dyDescent="0.25">
      <c r="AD1865" s="26"/>
    </row>
    <row r="1866" spans="30:30" ht="20.25" customHeight="1" x14ac:dyDescent="0.25">
      <c r="AD1866" s="26"/>
    </row>
    <row r="1867" spans="30:30" ht="20.25" customHeight="1" x14ac:dyDescent="0.25">
      <c r="AD1867" s="26"/>
    </row>
    <row r="1868" spans="30:30" ht="20.25" customHeight="1" x14ac:dyDescent="0.25">
      <c r="AD1868" s="26"/>
    </row>
    <row r="1869" spans="30:30" ht="20.25" customHeight="1" x14ac:dyDescent="0.25">
      <c r="AD1869" s="26"/>
    </row>
    <row r="1870" spans="30:30" ht="20.25" customHeight="1" x14ac:dyDescent="0.25">
      <c r="AD1870" s="26"/>
    </row>
    <row r="1871" spans="30:30" ht="20.25" customHeight="1" x14ac:dyDescent="0.25">
      <c r="AD1871" s="26"/>
    </row>
    <row r="1872" spans="30:30" ht="20.25" customHeight="1" x14ac:dyDescent="0.25">
      <c r="AD1872" s="26"/>
    </row>
    <row r="1873" spans="30:30" ht="20.25" customHeight="1" x14ac:dyDescent="0.25">
      <c r="AD1873" s="26"/>
    </row>
    <row r="1874" spans="30:30" ht="20.25" customHeight="1" x14ac:dyDescent="0.25">
      <c r="AD1874" s="26"/>
    </row>
    <row r="1875" spans="30:30" ht="20.25" customHeight="1" x14ac:dyDescent="0.25">
      <c r="AD1875" s="26"/>
    </row>
    <row r="1876" spans="30:30" ht="20.25" customHeight="1" x14ac:dyDescent="0.25">
      <c r="AD1876" s="26"/>
    </row>
    <row r="1877" spans="30:30" ht="20.25" customHeight="1" x14ac:dyDescent="0.25">
      <c r="AD1877" s="26"/>
    </row>
    <row r="1878" spans="30:30" ht="20.25" customHeight="1" x14ac:dyDescent="0.25">
      <c r="AD1878" s="26"/>
    </row>
    <row r="1879" spans="30:30" ht="20.25" customHeight="1" x14ac:dyDescent="0.25">
      <c r="AD1879" s="26"/>
    </row>
    <row r="1880" spans="30:30" ht="20.25" customHeight="1" x14ac:dyDescent="0.25">
      <c r="AD1880" s="26"/>
    </row>
    <row r="1881" spans="30:30" ht="20.25" customHeight="1" x14ac:dyDescent="0.25">
      <c r="AD1881" s="26"/>
    </row>
    <row r="1882" spans="30:30" ht="20.25" customHeight="1" x14ac:dyDescent="0.25">
      <c r="AD1882" s="26"/>
    </row>
    <row r="1883" spans="30:30" ht="20.25" customHeight="1" x14ac:dyDescent="0.25">
      <c r="AD1883" s="26"/>
    </row>
    <row r="1884" spans="30:30" ht="20.25" customHeight="1" x14ac:dyDescent="0.25">
      <c r="AD1884" s="26"/>
    </row>
    <row r="1885" spans="30:30" ht="20.25" customHeight="1" x14ac:dyDescent="0.25">
      <c r="AD1885" s="26"/>
    </row>
    <row r="1886" spans="30:30" ht="20.25" customHeight="1" x14ac:dyDescent="0.25">
      <c r="AD1886" s="26"/>
    </row>
    <row r="1887" spans="30:30" ht="20.25" customHeight="1" x14ac:dyDescent="0.25">
      <c r="AD1887" s="26"/>
    </row>
    <row r="1888" spans="30:30" ht="20.25" customHeight="1" x14ac:dyDescent="0.25">
      <c r="AD1888" s="26"/>
    </row>
    <row r="1889" spans="30:30" ht="20.25" customHeight="1" x14ac:dyDescent="0.25">
      <c r="AD1889" s="26"/>
    </row>
    <row r="1890" spans="30:30" ht="20.25" customHeight="1" x14ac:dyDescent="0.25">
      <c r="AD1890" s="26"/>
    </row>
    <row r="1891" spans="30:30" ht="20.25" customHeight="1" x14ac:dyDescent="0.25">
      <c r="AD1891" s="26"/>
    </row>
    <row r="1892" spans="30:30" ht="20.25" customHeight="1" x14ac:dyDescent="0.25">
      <c r="AD1892" s="26"/>
    </row>
    <row r="1893" spans="30:30" ht="20.25" customHeight="1" x14ac:dyDescent="0.25">
      <c r="AD1893" s="26"/>
    </row>
    <row r="1894" spans="30:30" ht="20.25" customHeight="1" x14ac:dyDescent="0.25">
      <c r="AD1894" s="26"/>
    </row>
    <row r="1895" spans="30:30" ht="20.25" customHeight="1" x14ac:dyDescent="0.25">
      <c r="AD1895" s="26"/>
    </row>
    <row r="1896" spans="30:30" ht="20.25" customHeight="1" x14ac:dyDescent="0.25">
      <c r="AD1896" s="26"/>
    </row>
    <row r="1897" spans="30:30" ht="20.25" customHeight="1" x14ac:dyDescent="0.25">
      <c r="AD1897" s="26"/>
    </row>
    <row r="1898" spans="30:30" ht="20.25" customHeight="1" x14ac:dyDescent="0.25">
      <c r="AD1898" s="26"/>
    </row>
    <row r="1899" spans="30:30" ht="20.25" customHeight="1" x14ac:dyDescent="0.25">
      <c r="AD1899" s="26"/>
    </row>
    <row r="1900" spans="30:30" ht="20.25" customHeight="1" x14ac:dyDescent="0.25">
      <c r="AD1900" s="26"/>
    </row>
    <row r="1901" spans="30:30" ht="20.25" customHeight="1" x14ac:dyDescent="0.25">
      <c r="AD1901" s="26"/>
    </row>
    <row r="1902" spans="30:30" ht="20.25" customHeight="1" x14ac:dyDescent="0.25">
      <c r="AD1902" s="26"/>
    </row>
    <row r="1903" spans="30:30" ht="20.25" customHeight="1" x14ac:dyDescent="0.25">
      <c r="AD1903" s="26"/>
    </row>
    <row r="1904" spans="30:30" ht="20.25" customHeight="1" x14ac:dyDescent="0.25">
      <c r="AD1904" s="26"/>
    </row>
    <row r="1905" spans="30:30" ht="20.25" customHeight="1" x14ac:dyDescent="0.25">
      <c r="AD1905" s="26"/>
    </row>
    <row r="1906" spans="30:30" ht="20.25" customHeight="1" x14ac:dyDescent="0.25">
      <c r="AD1906" s="26"/>
    </row>
    <row r="1907" spans="30:30" ht="20.25" customHeight="1" x14ac:dyDescent="0.25">
      <c r="AD1907" s="26"/>
    </row>
    <row r="1908" spans="30:30" ht="20.25" customHeight="1" x14ac:dyDescent="0.25">
      <c r="AD1908" s="26"/>
    </row>
    <row r="1909" spans="30:30" ht="20.25" customHeight="1" x14ac:dyDescent="0.25">
      <c r="AD1909" s="26"/>
    </row>
    <row r="1910" spans="30:30" ht="20.25" customHeight="1" x14ac:dyDescent="0.25">
      <c r="AD1910" s="26"/>
    </row>
    <row r="1911" spans="30:30" ht="20.25" customHeight="1" x14ac:dyDescent="0.25">
      <c r="AD1911" s="26"/>
    </row>
    <row r="1912" spans="30:30" ht="20.25" customHeight="1" x14ac:dyDescent="0.25">
      <c r="AD1912" s="26"/>
    </row>
    <row r="1913" spans="30:30" ht="20.25" customHeight="1" x14ac:dyDescent="0.25">
      <c r="AD1913" s="26"/>
    </row>
    <row r="1914" spans="30:30" ht="20.25" customHeight="1" x14ac:dyDescent="0.25">
      <c r="AD1914" s="26"/>
    </row>
    <row r="1915" spans="30:30" ht="20.25" customHeight="1" x14ac:dyDescent="0.25">
      <c r="AD1915" s="26"/>
    </row>
    <row r="1916" spans="30:30" ht="20.25" customHeight="1" x14ac:dyDescent="0.25">
      <c r="AD1916" s="26"/>
    </row>
    <row r="1917" spans="30:30" ht="20.25" customHeight="1" x14ac:dyDescent="0.25">
      <c r="AD1917" s="26"/>
    </row>
    <row r="1918" spans="30:30" ht="20.25" customHeight="1" x14ac:dyDescent="0.25">
      <c r="AD1918" s="26"/>
    </row>
    <row r="1919" spans="30:30" ht="20.25" customHeight="1" x14ac:dyDescent="0.25">
      <c r="AD1919" s="26"/>
    </row>
    <row r="1920" spans="30:30" ht="20.25" customHeight="1" x14ac:dyDescent="0.25">
      <c r="AD1920" s="26"/>
    </row>
    <row r="1921" spans="30:30" ht="20.25" customHeight="1" x14ac:dyDescent="0.25">
      <c r="AD1921" s="26"/>
    </row>
    <row r="1922" spans="30:30" ht="20.25" customHeight="1" x14ac:dyDescent="0.25">
      <c r="AD1922" s="26"/>
    </row>
    <row r="1923" spans="30:30" ht="20.25" customHeight="1" x14ac:dyDescent="0.25">
      <c r="AD1923" s="26"/>
    </row>
    <row r="1924" spans="30:30" ht="20.25" customHeight="1" x14ac:dyDescent="0.25">
      <c r="AD1924" s="26"/>
    </row>
    <row r="1925" spans="30:30" ht="20.25" customHeight="1" x14ac:dyDescent="0.25">
      <c r="AD1925" s="26"/>
    </row>
    <row r="1926" spans="30:30" ht="20.25" customHeight="1" x14ac:dyDescent="0.25">
      <c r="AD1926" s="26"/>
    </row>
    <row r="1927" spans="30:30" ht="20.25" customHeight="1" x14ac:dyDescent="0.25">
      <c r="AD1927" s="26"/>
    </row>
    <row r="1928" spans="30:30" ht="20.25" customHeight="1" x14ac:dyDescent="0.25">
      <c r="AD1928" s="26"/>
    </row>
    <row r="1929" spans="30:30" ht="20.25" customHeight="1" x14ac:dyDescent="0.25">
      <c r="AD1929" s="26"/>
    </row>
    <row r="1930" spans="30:30" ht="20.25" customHeight="1" x14ac:dyDescent="0.25">
      <c r="AD1930" s="26"/>
    </row>
    <row r="1931" spans="30:30" ht="20.25" customHeight="1" x14ac:dyDescent="0.25">
      <c r="AD1931" s="26"/>
    </row>
    <row r="1932" spans="30:30" ht="20.25" customHeight="1" x14ac:dyDescent="0.25">
      <c r="AD1932" s="26"/>
    </row>
    <row r="1933" spans="30:30" ht="20.25" customHeight="1" x14ac:dyDescent="0.25">
      <c r="AD1933" s="26"/>
    </row>
    <row r="1934" spans="30:30" ht="20.25" customHeight="1" x14ac:dyDescent="0.25">
      <c r="AD1934" s="26"/>
    </row>
    <row r="1935" spans="30:30" ht="20.25" customHeight="1" x14ac:dyDescent="0.25">
      <c r="AD1935" s="26"/>
    </row>
    <row r="1936" spans="30:30" ht="20.25" customHeight="1" x14ac:dyDescent="0.25">
      <c r="AD1936" s="26"/>
    </row>
    <row r="1937" spans="30:30" ht="20.25" customHeight="1" x14ac:dyDescent="0.25">
      <c r="AD1937" s="26"/>
    </row>
    <row r="1938" spans="30:30" ht="20.25" customHeight="1" x14ac:dyDescent="0.25">
      <c r="AD1938" s="26"/>
    </row>
    <row r="1939" spans="30:30" ht="20.25" customHeight="1" x14ac:dyDescent="0.25">
      <c r="AD1939" s="26"/>
    </row>
    <row r="1940" spans="30:30" ht="20.25" customHeight="1" x14ac:dyDescent="0.25">
      <c r="AD1940" s="26"/>
    </row>
    <row r="1941" spans="30:30" ht="20.25" customHeight="1" x14ac:dyDescent="0.25">
      <c r="AD1941" s="26"/>
    </row>
    <row r="1942" spans="30:30" ht="20.25" customHeight="1" x14ac:dyDescent="0.25">
      <c r="AD1942" s="26"/>
    </row>
    <row r="1943" spans="30:30" ht="20.25" customHeight="1" x14ac:dyDescent="0.25">
      <c r="AD1943" s="26"/>
    </row>
    <row r="1944" spans="30:30" ht="20.25" customHeight="1" x14ac:dyDescent="0.25">
      <c r="AD1944" s="26"/>
    </row>
    <row r="1945" spans="30:30" ht="20.25" customHeight="1" x14ac:dyDescent="0.25">
      <c r="AD1945" s="26"/>
    </row>
    <row r="1946" spans="30:30" ht="20.25" customHeight="1" x14ac:dyDescent="0.25">
      <c r="AD1946" s="26"/>
    </row>
    <row r="1947" spans="30:30" ht="20.25" customHeight="1" x14ac:dyDescent="0.25">
      <c r="AD1947" s="26"/>
    </row>
    <row r="1948" spans="30:30" ht="20.25" customHeight="1" x14ac:dyDescent="0.25">
      <c r="AD1948" s="26"/>
    </row>
    <row r="1949" spans="30:30" ht="20.25" customHeight="1" x14ac:dyDescent="0.25">
      <c r="AD1949" s="26"/>
    </row>
    <row r="1950" spans="30:30" ht="20.25" customHeight="1" x14ac:dyDescent="0.25">
      <c r="AD1950" s="26"/>
    </row>
    <row r="1951" spans="30:30" ht="20.25" customHeight="1" x14ac:dyDescent="0.25">
      <c r="AD1951" s="26"/>
    </row>
    <row r="1952" spans="30:30" ht="20.25" customHeight="1" x14ac:dyDescent="0.25">
      <c r="AD1952" s="26"/>
    </row>
    <row r="1953" spans="30:30" ht="20.25" customHeight="1" x14ac:dyDescent="0.25">
      <c r="AD1953" s="26"/>
    </row>
    <row r="1954" spans="30:30" ht="20.25" customHeight="1" x14ac:dyDescent="0.25">
      <c r="AD1954" s="26"/>
    </row>
    <row r="1955" spans="30:30" ht="20.25" customHeight="1" x14ac:dyDescent="0.25">
      <c r="AD1955" s="26"/>
    </row>
    <row r="1956" spans="30:30" ht="20.25" customHeight="1" x14ac:dyDescent="0.25">
      <c r="AD1956" s="26"/>
    </row>
    <row r="1957" spans="30:30" ht="20.25" customHeight="1" x14ac:dyDescent="0.25">
      <c r="AD1957" s="26"/>
    </row>
    <row r="1958" spans="30:30" ht="20.25" customHeight="1" x14ac:dyDescent="0.25">
      <c r="AD1958" s="26"/>
    </row>
    <row r="1959" spans="30:30" ht="20.25" customHeight="1" x14ac:dyDescent="0.25">
      <c r="AD1959" s="26"/>
    </row>
    <row r="1960" spans="30:30" ht="20.25" customHeight="1" x14ac:dyDescent="0.25">
      <c r="AD1960" s="26"/>
    </row>
    <row r="1961" spans="30:30" ht="20.25" customHeight="1" x14ac:dyDescent="0.25">
      <c r="AD1961" s="26"/>
    </row>
    <row r="1962" spans="30:30" ht="20.25" customHeight="1" x14ac:dyDescent="0.25">
      <c r="AD1962" s="26"/>
    </row>
    <row r="1963" spans="30:30" ht="20.25" customHeight="1" x14ac:dyDescent="0.25">
      <c r="AD1963" s="26"/>
    </row>
    <row r="1964" spans="30:30" ht="20.25" customHeight="1" x14ac:dyDescent="0.25">
      <c r="AD1964" s="26"/>
    </row>
    <row r="1965" spans="30:30" ht="20.25" customHeight="1" x14ac:dyDescent="0.25">
      <c r="AD1965" s="26"/>
    </row>
    <row r="1966" spans="30:30" ht="20.25" customHeight="1" x14ac:dyDescent="0.25">
      <c r="AD1966" s="26"/>
    </row>
    <row r="1967" spans="30:30" ht="20.25" customHeight="1" x14ac:dyDescent="0.25">
      <c r="AD1967" s="26"/>
    </row>
    <row r="1968" spans="30:30" ht="20.25" customHeight="1" x14ac:dyDescent="0.25">
      <c r="AD1968" s="26"/>
    </row>
    <row r="1969" spans="30:30" ht="20.25" customHeight="1" x14ac:dyDescent="0.25">
      <c r="AD1969" s="26"/>
    </row>
    <row r="1970" spans="30:30" ht="20.25" customHeight="1" x14ac:dyDescent="0.25">
      <c r="AD1970" s="26"/>
    </row>
    <row r="1971" spans="30:30" ht="20.25" customHeight="1" x14ac:dyDescent="0.25">
      <c r="AD1971" s="26"/>
    </row>
    <row r="1972" spans="30:30" ht="20.25" customHeight="1" x14ac:dyDescent="0.25">
      <c r="AD1972" s="26"/>
    </row>
    <row r="1973" spans="30:30" ht="20.25" customHeight="1" x14ac:dyDescent="0.25">
      <c r="AD1973" s="26"/>
    </row>
    <row r="1974" spans="30:30" ht="20.25" customHeight="1" x14ac:dyDescent="0.25">
      <c r="AD1974" s="26"/>
    </row>
    <row r="1975" spans="30:30" ht="20.25" customHeight="1" x14ac:dyDescent="0.25">
      <c r="AD1975" s="26"/>
    </row>
    <row r="1976" spans="30:30" ht="20.25" customHeight="1" x14ac:dyDescent="0.25">
      <c r="AD1976" s="26"/>
    </row>
    <row r="1977" spans="30:30" ht="20.25" customHeight="1" x14ac:dyDescent="0.25">
      <c r="AD1977" s="26"/>
    </row>
    <row r="1978" spans="30:30" ht="20.25" customHeight="1" x14ac:dyDescent="0.25">
      <c r="AD1978" s="26"/>
    </row>
    <row r="1979" spans="30:30" ht="20.25" customHeight="1" x14ac:dyDescent="0.25">
      <c r="AD1979" s="26"/>
    </row>
    <row r="1980" spans="30:30" ht="20.25" customHeight="1" x14ac:dyDescent="0.25">
      <c r="AD1980" s="26"/>
    </row>
    <row r="1981" spans="30:30" ht="20.25" customHeight="1" x14ac:dyDescent="0.25">
      <c r="AD1981" s="26"/>
    </row>
    <row r="1982" spans="30:30" ht="20.25" customHeight="1" x14ac:dyDescent="0.25">
      <c r="AD1982" s="26"/>
    </row>
    <row r="1983" spans="30:30" ht="20.25" customHeight="1" x14ac:dyDescent="0.25">
      <c r="AD1983" s="26"/>
    </row>
    <row r="1984" spans="30:30" ht="20.25" customHeight="1" x14ac:dyDescent="0.25">
      <c r="AD1984" s="26"/>
    </row>
    <row r="1985" spans="30:30" ht="20.25" customHeight="1" x14ac:dyDescent="0.25">
      <c r="AD1985" s="26"/>
    </row>
    <row r="1986" spans="30:30" ht="20.25" customHeight="1" x14ac:dyDescent="0.25">
      <c r="AD1986" s="26"/>
    </row>
    <row r="1987" spans="30:30" ht="20.25" customHeight="1" x14ac:dyDescent="0.25">
      <c r="AD1987" s="26"/>
    </row>
    <row r="1988" spans="30:30" ht="20.25" customHeight="1" x14ac:dyDescent="0.25">
      <c r="AD1988" s="26"/>
    </row>
    <row r="1989" spans="30:30" ht="20.25" customHeight="1" x14ac:dyDescent="0.25">
      <c r="AD1989" s="26"/>
    </row>
    <row r="1990" spans="30:30" ht="20.25" customHeight="1" x14ac:dyDescent="0.25">
      <c r="AD1990" s="26"/>
    </row>
    <row r="1991" spans="30:30" ht="20.25" customHeight="1" x14ac:dyDescent="0.25">
      <c r="AD1991" s="26"/>
    </row>
    <row r="1992" spans="30:30" ht="20.25" customHeight="1" x14ac:dyDescent="0.25">
      <c r="AD1992" s="26"/>
    </row>
    <row r="1993" spans="30:30" ht="20.25" customHeight="1" x14ac:dyDescent="0.25">
      <c r="AD1993" s="26"/>
    </row>
    <row r="1994" spans="30:30" ht="20.25" customHeight="1" x14ac:dyDescent="0.25">
      <c r="AD1994" s="26"/>
    </row>
    <row r="1995" spans="30:30" ht="20.25" customHeight="1" x14ac:dyDescent="0.25">
      <c r="AD1995" s="26"/>
    </row>
    <row r="1996" spans="30:30" ht="20.25" customHeight="1" x14ac:dyDescent="0.25">
      <c r="AD1996" s="26"/>
    </row>
    <row r="1997" spans="30:30" ht="20.25" customHeight="1" x14ac:dyDescent="0.25">
      <c r="AD1997" s="26"/>
    </row>
    <row r="1998" spans="30:30" ht="20.25" customHeight="1" x14ac:dyDescent="0.25">
      <c r="AD1998" s="26"/>
    </row>
    <row r="1999" spans="30:30" ht="20.25" customHeight="1" x14ac:dyDescent="0.25">
      <c r="AD1999" s="26"/>
    </row>
    <row r="2000" spans="30:30" ht="20.25" customHeight="1" x14ac:dyDescent="0.25">
      <c r="AD2000" s="26"/>
    </row>
    <row r="2001" spans="30:30" ht="20.25" customHeight="1" x14ac:dyDescent="0.25">
      <c r="AD2001" s="26"/>
    </row>
    <row r="2002" spans="30:30" ht="20.25" customHeight="1" x14ac:dyDescent="0.25">
      <c r="AD2002" s="26"/>
    </row>
    <row r="2003" spans="30:30" ht="20.25" customHeight="1" x14ac:dyDescent="0.25">
      <c r="AD2003" s="26"/>
    </row>
    <row r="2004" spans="30:30" ht="20.25" customHeight="1" x14ac:dyDescent="0.25">
      <c r="AD2004" s="26"/>
    </row>
    <row r="2005" spans="30:30" ht="20.25" customHeight="1" x14ac:dyDescent="0.25">
      <c r="AD2005" s="26"/>
    </row>
    <row r="2006" spans="30:30" ht="20.25" customHeight="1" x14ac:dyDescent="0.25">
      <c r="AD2006" s="26"/>
    </row>
    <row r="2007" spans="30:30" ht="20.25" customHeight="1" x14ac:dyDescent="0.25">
      <c r="AD2007" s="26"/>
    </row>
    <row r="2008" spans="30:30" ht="20.25" customHeight="1" x14ac:dyDescent="0.25">
      <c r="AD2008" s="26"/>
    </row>
    <row r="2009" spans="30:30" ht="20.25" customHeight="1" x14ac:dyDescent="0.25">
      <c r="AD2009" s="26"/>
    </row>
    <row r="2010" spans="30:30" ht="20.25" customHeight="1" x14ac:dyDescent="0.25">
      <c r="AD2010" s="26"/>
    </row>
    <row r="2011" spans="30:30" ht="20.25" customHeight="1" x14ac:dyDescent="0.25">
      <c r="AD2011" s="26"/>
    </row>
    <row r="2012" spans="30:30" ht="20.25" customHeight="1" x14ac:dyDescent="0.25">
      <c r="AD2012" s="26"/>
    </row>
    <row r="2013" spans="30:30" ht="20.25" customHeight="1" x14ac:dyDescent="0.25">
      <c r="AD2013" s="26"/>
    </row>
    <row r="2014" spans="30:30" ht="20.25" customHeight="1" x14ac:dyDescent="0.25">
      <c r="AD2014" s="26"/>
    </row>
    <row r="2015" spans="30:30" ht="20.25" customHeight="1" x14ac:dyDescent="0.25">
      <c r="AD2015" s="26"/>
    </row>
    <row r="2016" spans="30:30" ht="20.25" customHeight="1" x14ac:dyDescent="0.25">
      <c r="AD2016" s="26"/>
    </row>
    <row r="2017" spans="30:30" ht="20.25" customHeight="1" x14ac:dyDescent="0.25">
      <c r="AD2017" s="26"/>
    </row>
    <row r="2018" spans="30:30" ht="20.25" customHeight="1" x14ac:dyDescent="0.25">
      <c r="AD2018" s="26"/>
    </row>
    <row r="2019" spans="30:30" ht="20.25" customHeight="1" x14ac:dyDescent="0.25">
      <c r="AD2019" s="26"/>
    </row>
    <row r="2020" spans="30:30" ht="20.25" customHeight="1" x14ac:dyDescent="0.25">
      <c r="AD2020" s="26"/>
    </row>
    <row r="2021" spans="30:30" ht="20.25" customHeight="1" x14ac:dyDescent="0.25">
      <c r="AD2021" s="26"/>
    </row>
    <row r="2022" spans="30:30" ht="20.25" customHeight="1" x14ac:dyDescent="0.25">
      <c r="AD2022" s="26"/>
    </row>
    <row r="2023" spans="30:30" ht="20.25" customHeight="1" x14ac:dyDescent="0.25">
      <c r="AD2023" s="26"/>
    </row>
    <row r="2024" spans="30:30" ht="20.25" customHeight="1" x14ac:dyDescent="0.25">
      <c r="AD2024" s="26"/>
    </row>
    <row r="2025" spans="30:30" ht="20.25" customHeight="1" x14ac:dyDescent="0.25">
      <c r="AD2025" s="26"/>
    </row>
    <row r="2026" spans="30:30" ht="20.25" customHeight="1" x14ac:dyDescent="0.25">
      <c r="AD2026" s="26"/>
    </row>
    <row r="2027" spans="30:30" ht="20.25" customHeight="1" x14ac:dyDescent="0.25">
      <c r="AD2027" s="26"/>
    </row>
    <row r="2028" spans="30:30" ht="20.25" customHeight="1" x14ac:dyDescent="0.25">
      <c r="AD2028" s="26"/>
    </row>
    <row r="2029" spans="30:30" ht="20.25" customHeight="1" x14ac:dyDescent="0.25">
      <c r="AD2029" s="26"/>
    </row>
    <row r="2030" spans="30:30" ht="20.25" customHeight="1" x14ac:dyDescent="0.25">
      <c r="AD2030" s="26"/>
    </row>
    <row r="2031" spans="30:30" ht="20.25" customHeight="1" x14ac:dyDescent="0.25">
      <c r="AD2031" s="26"/>
    </row>
    <row r="2032" spans="30:30" ht="20.25" customHeight="1" x14ac:dyDescent="0.25">
      <c r="AD2032" s="26"/>
    </row>
    <row r="2033" spans="30:30" ht="20.25" customHeight="1" x14ac:dyDescent="0.25">
      <c r="AD2033" s="26"/>
    </row>
    <row r="2034" spans="30:30" ht="20.25" customHeight="1" x14ac:dyDescent="0.25">
      <c r="AD2034" s="26"/>
    </row>
    <row r="2035" spans="30:30" ht="20.25" customHeight="1" x14ac:dyDescent="0.25">
      <c r="AD2035" s="26"/>
    </row>
    <row r="2036" spans="30:30" ht="20.25" customHeight="1" x14ac:dyDescent="0.25">
      <c r="AD2036" s="26"/>
    </row>
    <row r="2037" spans="30:30" ht="20.25" customHeight="1" x14ac:dyDescent="0.25">
      <c r="AD2037" s="26"/>
    </row>
    <row r="2038" spans="30:30" ht="20.25" customHeight="1" x14ac:dyDescent="0.25">
      <c r="AD2038" s="26"/>
    </row>
    <row r="2039" spans="30:30" ht="20.25" customHeight="1" x14ac:dyDescent="0.25">
      <c r="AD2039" s="26"/>
    </row>
    <row r="2040" spans="30:30" ht="20.25" customHeight="1" x14ac:dyDescent="0.25">
      <c r="AD2040" s="26"/>
    </row>
    <row r="2041" spans="30:30" ht="20.25" customHeight="1" x14ac:dyDescent="0.25">
      <c r="AD2041" s="26"/>
    </row>
    <row r="2042" spans="30:30" ht="20.25" customHeight="1" x14ac:dyDescent="0.25">
      <c r="AD2042" s="26"/>
    </row>
    <row r="2043" spans="30:30" ht="20.25" customHeight="1" x14ac:dyDescent="0.25">
      <c r="AD2043" s="26"/>
    </row>
    <row r="2044" spans="30:30" ht="20.25" customHeight="1" x14ac:dyDescent="0.25">
      <c r="AD2044" s="26"/>
    </row>
    <row r="2045" spans="30:30" ht="20.25" customHeight="1" x14ac:dyDescent="0.25">
      <c r="AD2045" s="26"/>
    </row>
    <row r="2046" spans="30:30" ht="20.25" customHeight="1" x14ac:dyDescent="0.25">
      <c r="AD2046" s="26"/>
    </row>
    <row r="2047" spans="30:30" ht="20.25" customHeight="1" x14ac:dyDescent="0.25">
      <c r="AD2047" s="26"/>
    </row>
    <row r="2048" spans="30:30" ht="20.25" customHeight="1" x14ac:dyDescent="0.25">
      <c r="AD2048" s="26"/>
    </row>
    <row r="2049" spans="30:30" ht="20.25" customHeight="1" x14ac:dyDescent="0.25">
      <c r="AD2049" s="26"/>
    </row>
    <row r="2050" spans="30:30" ht="20.25" customHeight="1" x14ac:dyDescent="0.25">
      <c r="AD2050" s="26"/>
    </row>
    <row r="2051" spans="30:30" ht="20.25" customHeight="1" x14ac:dyDescent="0.25">
      <c r="AD2051" s="26"/>
    </row>
    <row r="2052" spans="30:30" ht="20.25" customHeight="1" x14ac:dyDescent="0.25">
      <c r="AD2052" s="26"/>
    </row>
    <row r="2053" spans="30:30" ht="20.25" customHeight="1" x14ac:dyDescent="0.25">
      <c r="AD2053" s="26"/>
    </row>
    <row r="2054" spans="30:30" ht="20.25" customHeight="1" x14ac:dyDescent="0.25">
      <c r="AD2054" s="26"/>
    </row>
    <row r="2055" spans="30:30" ht="20.25" customHeight="1" x14ac:dyDescent="0.25">
      <c r="AD2055" s="26"/>
    </row>
    <row r="2056" spans="30:30" ht="20.25" customHeight="1" x14ac:dyDescent="0.25">
      <c r="AD2056" s="26"/>
    </row>
    <row r="2057" spans="30:30" ht="20.25" customHeight="1" x14ac:dyDescent="0.25">
      <c r="AD2057" s="26"/>
    </row>
    <row r="2058" spans="30:30" ht="20.25" customHeight="1" x14ac:dyDescent="0.25">
      <c r="AD2058" s="26"/>
    </row>
    <row r="2059" spans="30:30" ht="20.25" customHeight="1" x14ac:dyDescent="0.25">
      <c r="AD2059" s="26"/>
    </row>
    <row r="2060" spans="30:30" ht="20.25" customHeight="1" x14ac:dyDescent="0.25">
      <c r="AD2060" s="26"/>
    </row>
    <row r="2061" spans="30:30" ht="20.25" customHeight="1" x14ac:dyDescent="0.25">
      <c r="AD2061" s="26"/>
    </row>
    <row r="2062" spans="30:30" ht="20.25" customHeight="1" x14ac:dyDescent="0.25">
      <c r="AD2062" s="26"/>
    </row>
    <row r="2063" spans="30:30" ht="20.25" customHeight="1" x14ac:dyDescent="0.25">
      <c r="AD2063" s="26"/>
    </row>
    <row r="2064" spans="30:30" ht="20.25" customHeight="1" x14ac:dyDescent="0.25">
      <c r="AD2064" s="26"/>
    </row>
    <row r="2065" spans="30:30" ht="20.25" customHeight="1" x14ac:dyDescent="0.25">
      <c r="AD2065" s="26"/>
    </row>
    <row r="2066" spans="30:30" ht="20.25" customHeight="1" x14ac:dyDescent="0.25">
      <c r="AD2066" s="26"/>
    </row>
    <row r="2067" spans="30:30" ht="20.25" customHeight="1" x14ac:dyDescent="0.25">
      <c r="AD2067" s="26"/>
    </row>
    <row r="2068" spans="30:30" ht="20.25" customHeight="1" x14ac:dyDescent="0.25">
      <c r="AD2068" s="26"/>
    </row>
    <row r="2069" spans="30:30" ht="20.25" customHeight="1" x14ac:dyDescent="0.25">
      <c r="AD2069" s="26"/>
    </row>
    <row r="2070" spans="30:30" ht="20.25" customHeight="1" x14ac:dyDescent="0.25">
      <c r="AD2070" s="26"/>
    </row>
    <row r="2071" spans="30:30" ht="20.25" customHeight="1" x14ac:dyDescent="0.25">
      <c r="AD2071" s="26"/>
    </row>
    <row r="2072" spans="30:30" ht="20.25" customHeight="1" x14ac:dyDescent="0.25">
      <c r="AD2072" s="26"/>
    </row>
    <row r="2073" spans="30:30" ht="20.25" customHeight="1" x14ac:dyDescent="0.25">
      <c r="AD2073" s="26"/>
    </row>
    <row r="2074" spans="30:30" ht="20.25" customHeight="1" x14ac:dyDescent="0.25">
      <c r="AD2074" s="26"/>
    </row>
    <row r="2075" spans="30:30" ht="20.25" customHeight="1" x14ac:dyDescent="0.25">
      <c r="AD2075" s="26"/>
    </row>
    <row r="2076" spans="30:30" ht="20.25" customHeight="1" x14ac:dyDescent="0.25">
      <c r="AD2076" s="26"/>
    </row>
    <row r="2077" spans="30:30" ht="20.25" customHeight="1" x14ac:dyDescent="0.25">
      <c r="AD2077" s="26"/>
    </row>
    <row r="2078" spans="30:30" ht="20.25" customHeight="1" x14ac:dyDescent="0.25">
      <c r="AD2078" s="26"/>
    </row>
    <row r="2079" spans="30:30" ht="20.25" customHeight="1" x14ac:dyDescent="0.25">
      <c r="AD2079" s="26"/>
    </row>
    <row r="2080" spans="30:30" ht="20.25" customHeight="1" x14ac:dyDescent="0.25">
      <c r="AD2080" s="26"/>
    </row>
    <row r="2081" spans="30:30" ht="20.25" customHeight="1" x14ac:dyDescent="0.25">
      <c r="AD2081" s="26"/>
    </row>
    <row r="2082" spans="30:30" ht="20.25" customHeight="1" x14ac:dyDescent="0.25">
      <c r="AD2082" s="26"/>
    </row>
    <row r="2083" spans="30:30" ht="20.25" customHeight="1" x14ac:dyDescent="0.25">
      <c r="AD2083" s="26"/>
    </row>
    <row r="2084" spans="30:30" ht="20.25" customHeight="1" x14ac:dyDescent="0.25">
      <c r="AD2084" s="26"/>
    </row>
    <row r="2085" spans="30:30" ht="20.25" customHeight="1" x14ac:dyDescent="0.25">
      <c r="AD2085" s="26"/>
    </row>
    <row r="2086" spans="30:30" ht="20.25" customHeight="1" x14ac:dyDescent="0.25">
      <c r="AD2086" s="26"/>
    </row>
    <row r="2087" spans="30:30" ht="20.25" customHeight="1" x14ac:dyDescent="0.25">
      <c r="AD2087" s="26"/>
    </row>
    <row r="2088" spans="30:30" ht="20.25" customHeight="1" x14ac:dyDescent="0.25">
      <c r="AD2088" s="26"/>
    </row>
    <row r="2089" spans="30:30" ht="20.25" customHeight="1" x14ac:dyDescent="0.25">
      <c r="AD2089" s="26"/>
    </row>
    <row r="2090" spans="30:30" ht="20.25" customHeight="1" x14ac:dyDescent="0.25">
      <c r="AD2090" s="26"/>
    </row>
    <row r="2091" spans="30:30" ht="20.25" customHeight="1" x14ac:dyDescent="0.25">
      <c r="AD2091" s="26"/>
    </row>
    <row r="2092" spans="30:30" ht="20.25" customHeight="1" x14ac:dyDescent="0.25">
      <c r="AD2092" s="26"/>
    </row>
    <row r="2093" spans="30:30" ht="20.25" customHeight="1" x14ac:dyDescent="0.25">
      <c r="AD2093" s="26"/>
    </row>
    <row r="2094" spans="30:30" ht="20.25" customHeight="1" x14ac:dyDescent="0.25">
      <c r="AD2094" s="26"/>
    </row>
    <row r="2095" spans="30:30" ht="20.25" customHeight="1" x14ac:dyDescent="0.25">
      <c r="AD2095" s="26"/>
    </row>
    <row r="2096" spans="30:30" ht="20.25" customHeight="1" x14ac:dyDescent="0.25">
      <c r="AD2096" s="26"/>
    </row>
    <row r="2097" spans="30:30" ht="20.25" customHeight="1" x14ac:dyDescent="0.25">
      <c r="AD2097" s="26"/>
    </row>
    <row r="2098" spans="30:30" ht="20.25" customHeight="1" x14ac:dyDescent="0.25">
      <c r="AD2098" s="26"/>
    </row>
    <row r="2099" spans="30:30" ht="20.25" customHeight="1" x14ac:dyDescent="0.25">
      <c r="AD2099" s="26"/>
    </row>
    <row r="2100" spans="30:30" ht="20.25" customHeight="1" x14ac:dyDescent="0.25">
      <c r="AD2100" s="26"/>
    </row>
    <row r="2101" spans="30:30" ht="20.25" customHeight="1" x14ac:dyDescent="0.25">
      <c r="AD2101" s="26"/>
    </row>
    <row r="2102" spans="30:30" ht="20.25" customHeight="1" x14ac:dyDescent="0.25">
      <c r="AD2102" s="26"/>
    </row>
    <row r="2103" spans="30:30" ht="20.25" customHeight="1" x14ac:dyDescent="0.25">
      <c r="AD2103" s="26"/>
    </row>
    <row r="2104" spans="30:30" ht="20.25" customHeight="1" x14ac:dyDescent="0.25">
      <c r="AD2104" s="26"/>
    </row>
    <row r="2105" spans="30:30" ht="20.25" customHeight="1" x14ac:dyDescent="0.25">
      <c r="AD2105" s="26"/>
    </row>
    <row r="2106" spans="30:30" ht="20.25" customHeight="1" x14ac:dyDescent="0.25">
      <c r="AD2106" s="26"/>
    </row>
    <row r="2107" spans="30:30" ht="20.25" customHeight="1" x14ac:dyDescent="0.25">
      <c r="AD2107" s="26"/>
    </row>
    <row r="2108" spans="30:30" ht="20.25" customHeight="1" x14ac:dyDescent="0.25">
      <c r="AD2108" s="26"/>
    </row>
    <row r="2109" spans="30:30" ht="20.25" customHeight="1" x14ac:dyDescent="0.25">
      <c r="AD2109" s="26"/>
    </row>
    <row r="2110" spans="30:30" ht="20.25" customHeight="1" x14ac:dyDescent="0.25">
      <c r="AD2110" s="26"/>
    </row>
    <row r="2111" spans="30:30" ht="20.25" customHeight="1" x14ac:dyDescent="0.25">
      <c r="AD2111" s="26"/>
    </row>
    <row r="2112" spans="30:30" ht="20.25" customHeight="1" x14ac:dyDescent="0.25">
      <c r="AD2112" s="26"/>
    </row>
    <row r="2113" spans="30:30" ht="20.25" customHeight="1" x14ac:dyDescent="0.25">
      <c r="AD2113" s="26"/>
    </row>
    <row r="2114" spans="30:30" ht="20.25" customHeight="1" x14ac:dyDescent="0.25">
      <c r="AD2114" s="26"/>
    </row>
    <row r="2115" spans="30:30" ht="20.25" customHeight="1" x14ac:dyDescent="0.25">
      <c r="AD2115" s="26"/>
    </row>
    <row r="2116" spans="30:30" ht="20.25" customHeight="1" x14ac:dyDescent="0.25">
      <c r="AD2116" s="26"/>
    </row>
    <row r="2117" spans="30:30" ht="20.25" customHeight="1" x14ac:dyDescent="0.25">
      <c r="AD2117" s="26"/>
    </row>
    <row r="2118" spans="30:30" ht="20.25" customHeight="1" x14ac:dyDescent="0.25">
      <c r="AD2118" s="26"/>
    </row>
    <row r="2119" spans="30:30" ht="20.25" customHeight="1" x14ac:dyDescent="0.25">
      <c r="AD2119" s="26"/>
    </row>
    <row r="2120" spans="30:30" ht="20.25" customHeight="1" x14ac:dyDescent="0.25">
      <c r="AD2120" s="26"/>
    </row>
    <row r="2121" spans="30:30" ht="20.25" customHeight="1" x14ac:dyDescent="0.25">
      <c r="AD2121" s="26"/>
    </row>
    <row r="2122" spans="30:30" ht="20.25" customHeight="1" x14ac:dyDescent="0.25">
      <c r="AD2122" s="26"/>
    </row>
    <row r="2123" spans="30:30" ht="20.25" customHeight="1" x14ac:dyDescent="0.25">
      <c r="AD2123" s="26"/>
    </row>
    <row r="2124" spans="30:30" ht="20.25" customHeight="1" x14ac:dyDescent="0.25">
      <c r="AD2124" s="26"/>
    </row>
    <row r="2125" spans="30:30" ht="20.25" customHeight="1" x14ac:dyDescent="0.25">
      <c r="AD2125" s="26"/>
    </row>
    <row r="2126" spans="30:30" ht="20.25" customHeight="1" x14ac:dyDescent="0.25">
      <c r="AD2126" s="26"/>
    </row>
    <row r="2127" spans="30:30" ht="20.25" customHeight="1" x14ac:dyDescent="0.25">
      <c r="AD2127" s="26"/>
    </row>
    <row r="2128" spans="30:30" ht="20.25" customHeight="1" x14ac:dyDescent="0.25">
      <c r="AD2128" s="26"/>
    </row>
    <row r="2129" spans="30:30" ht="20.25" customHeight="1" x14ac:dyDescent="0.25">
      <c r="AD2129" s="26"/>
    </row>
    <row r="2130" spans="30:30" ht="20.25" customHeight="1" x14ac:dyDescent="0.25">
      <c r="AD2130" s="26"/>
    </row>
    <row r="2131" spans="30:30" ht="20.25" customHeight="1" x14ac:dyDescent="0.25">
      <c r="AD2131" s="26"/>
    </row>
    <row r="2132" spans="30:30" ht="20.25" customHeight="1" x14ac:dyDescent="0.25">
      <c r="AD2132" s="26"/>
    </row>
    <row r="2133" spans="30:30" ht="20.25" customHeight="1" x14ac:dyDescent="0.25">
      <c r="AD2133" s="26"/>
    </row>
    <row r="2134" spans="30:30" ht="20.25" customHeight="1" x14ac:dyDescent="0.25">
      <c r="AD2134" s="26"/>
    </row>
    <row r="2135" spans="30:30" ht="20.25" customHeight="1" x14ac:dyDescent="0.25">
      <c r="AD2135" s="26"/>
    </row>
    <row r="2136" spans="30:30" ht="20.25" customHeight="1" x14ac:dyDescent="0.25">
      <c r="AD2136" s="26"/>
    </row>
    <row r="2137" spans="30:30" ht="20.25" customHeight="1" x14ac:dyDescent="0.25">
      <c r="AD2137" s="26"/>
    </row>
    <row r="2138" spans="30:30" ht="20.25" customHeight="1" x14ac:dyDescent="0.25">
      <c r="AD2138" s="26"/>
    </row>
    <row r="2139" spans="30:30" ht="20.25" customHeight="1" x14ac:dyDescent="0.25">
      <c r="AD2139" s="26"/>
    </row>
    <row r="2140" spans="30:30" ht="20.25" customHeight="1" x14ac:dyDescent="0.25">
      <c r="AD2140" s="26"/>
    </row>
    <row r="2141" spans="30:30" ht="20.25" customHeight="1" x14ac:dyDescent="0.25">
      <c r="AD2141" s="26"/>
    </row>
    <row r="2142" spans="30:30" ht="20.25" customHeight="1" x14ac:dyDescent="0.25">
      <c r="AD2142" s="26"/>
    </row>
    <row r="2143" spans="30:30" ht="20.25" customHeight="1" x14ac:dyDescent="0.25">
      <c r="AD2143" s="26"/>
    </row>
    <row r="2144" spans="30:30" ht="20.25" customHeight="1" x14ac:dyDescent="0.25">
      <c r="AD2144" s="26"/>
    </row>
    <row r="2145" spans="30:30" ht="20.25" customHeight="1" x14ac:dyDescent="0.25">
      <c r="AD2145" s="26"/>
    </row>
    <row r="2146" spans="30:30" ht="20.25" customHeight="1" x14ac:dyDescent="0.25">
      <c r="AD2146" s="26"/>
    </row>
    <row r="2147" spans="30:30" ht="20.25" customHeight="1" x14ac:dyDescent="0.25">
      <c r="AD2147" s="26"/>
    </row>
    <row r="2148" spans="30:30" ht="20.25" customHeight="1" x14ac:dyDescent="0.25">
      <c r="AD2148" s="26"/>
    </row>
    <row r="2149" spans="30:30" ht="20.25" customHeight="1" x14ac:dyDescent="0.25">
      <c r="AD2149" s="26"/>
    </row>
    <row r="2150" spans="30:30" ht="20.25" customHeight="1" x14ac:dyDescent="0.25">
      <c r="AD2150" s="26"/>
    </row>
    <row r="2151" spans="30:30" ht="20.25" customHeight="1" x14ac:dyDescent="0.25">
      <c r="AD2151" s="26"/>
    </row>
    <row r="2152" spans="30:30" ht="20.25" customHeight="1" x14ac:dyDescent="0.25">
      <c r="AD2152" s="26"/>
    </row>
    <row r="2153" spans="30:30" ht="20.25" customHeight="1" x14ac:dyDescent="0.25">
      <c r="AD2153" s="26"/>
    </row>
    <row r="2154" spans="30:30" ht="20.25" customHeight="1" x14ac:dyDescent="0.25">
      <c r="AD2154" s="26"/>
    </row>
    <row r="2155" spans="30:30" ht="20.25" customHeight="1" x14ac:dyDescent="0.25">
      <c r="AD2155" s="26"/>
    </row>
    <row r="2156" spans="30:30" ht="20.25" customHeight="1" x14ac:dyDescent="0.25">
      <c r="AD2156" s="26"/>
    </row>
    <row r="2157" spans="30:30" ht="20.25" customHeight="1" x14ac:dyDescent="0.25">
      <c r="AD2157" s="26"/>
    </row>
    <row r="2158" spans="30:30" ht="20.25" customHeight="1" x14ac:dyDescent="0.25">
      <c r="AD2158" s="26"/>
    </row>
    <row r="2159" spans="30:30" ht="20.25" customHeight="1" x14ac:dyDescent="0.25">
      <c r="AD2159" s="26"/>
    </row>
    <row r="2160" spans="30:30" ht="20.25" customHeight="1" x14ac:dyDescent="0.25">
      <c r="AD2160" s="26"/>
    </row>
    <row r="2161" spans="30:30" ht="20.25" customHeight="1" x14ac:dyDescent="0.25">
      <c r="AD2161" s="26"/>
    </row>
    <row r="2162" spans="30:30" ht="20.25" customHeight="1" x14ac:dyDescent="0.25">
      <c r="AD2162" s="26"/>
    </row>
    <row r="2163" spans="30:30" ht="20.25" customHeight="1" x14ac:dyDescent="0.25">
      <c r="AD2163" s="26"/>
    </row>
    <row r="2164" spans="30:30" ht="20.25" customHeight="1" x14ac:dyDescent="0.25">
      <c r="AD2164" s="26"/>
    </row>
    <row r="2165" spans="30:30" ht="20.25" customHeight="1" x14ac:dyDescent="0.25">
      <c r="AD2165" s="26"/>
    </row>
    <row r="2166" spans="30:30" ht="20.25" customHeight="1" x14ac:dyDescent="0.25">
      <c r="AD2166" s="26"/>
    </row>
    <row r="2167" spans="30:30" ht="20.25" customHeight="1" x14ac:dyDescent="0.25">
      <c r="AD2167" s="26"/>
    </row>
    <row r="2168" spans="30:30" ht="20.25" customHeight="1" x14ac:dyDescent="0.25">
      <c r="AD2168" s="26"/>
    </row>
    <row r="2169" spans="30:30" ht="20.25" customHeight="1" x14ac:dyDescent="0.25">
      <c r="AD2169" s="26"/>
    </row>
    <row r="2170" spans="30:30" ht="20.25" customHeight="1" x14ac:dyDescent="0.25">
      <c r="AD2170" s="26"/>
    </row>
    <row r="2171" spans="30:30" ht="20.25" customHeight="1" x14ac:dyDescent="0.25">
      <c r="AD2171" s="26"/>
    </row>
    <row r="2172" spans="30:30" ht="20.25" customHeight="1" x14ac:dyDescent="0.25">
      <c r="AD2172" s="26"/>
    </row>
    <row r="2173" spans="30:30" ht="20.25" customHeight="1" x14ac:dyDescent="0.25">
      <c r="AD2173" s="26"/>
    </row>
    <row r="2174" spans="30:30" ht="20.25" customHeight="1" x14ac:dyDescent="0.25">
      <c r="AD2174" s="26"/>
    </row>
    <row r="2175" spans="30:30" ht="20.25" customHeight="1" x14ac:dyDescent="0.25">
      <c r="AD2175" s="26"/>
    </row>
    <row r="2176" spans="30:30" ht="20.25" customHeight="1" x14ac:dyDescent="0.25">
      <c r="AD2176" s="26"/>
    </row>
    <row r="2177" spans="30:30" ht="20.25" customHeight="1" x14ac:dyDescent="0.25">
      <c r="AD2177" s="26"/>
    </row>
    <row r="2178" spans="30:30" ht="20.25" customHeight="1" x14ac:dyDescent="0.25">
      <c r="AD2178" s="26"/>
    </row>
    <row r="2179" spans="30:30" ht="20.25" customHeight="1" x14ac:dyDescent="0.25">
      <c r="AD2179" s="26"/>
    </row>
    <row r="2180" spans="30:30" ht="20.25" customHeight="1" x14ac:dyDescent="0.25">
      <c r="AD2180" s="26"/>
    </row>
    <row r="2181" spans="30:30" ht="20.25" customHeight="1" x14ac:dyDescent="0.25">
      <c r="AD2181" s="26"/>
    </row>
    <row r="2182" spans="30:30" ht="20.25" customHeight="1" x14ac:dyDescent="0.25">
      <c r="AD2182" s="26"/>
    </row>
    <row r="2183" spans="30:30" ht="20.25" customHeight="1" x14ac:dyDescent="0.25">
      <c r="AD2183" s="26"/>
    </row>
    <row r="2184" spans="30:30" ht="20.25" customHeight="1" x14ac:dyDescent="0.25">
      <c r="AD2184" s="26"/>
    </row>
    <row r="2185" spans="30:30" ht="20.25" customHeight="1" x14ac:dyDescent="0.25">
      <c r="AD2185" s="26"/>
    </row>
    <row r="2186" spans="30:30" ht="20.25" customHeight="1" x14ac:dyDescent="0.25">
      <c r="AD2186" s="26"/>
    </row>
    <row r="2187" spans="30:30" ht="20.25" customHeight="1" x14ac:dyDescent="0.25">
      <c r="AD2187" s="26"/>
    </row>
    <row r="2188" spans="30:30" ht="20.25" customHeight="1" x14ac:dyDescent="0.25">
      <c r="AD2188" s="26"/>
    </row>
    <row r="2189" spans="30:30" ht="20.25" customHeight="1" x14ac:dyDescent="0.25">
      <c r="AD2189" s="26"/>
    </row>
    <row r="2190" spans="30:30" ht="20.25" customHeight="1" x14ac:dyDescent="0.25">
      <c r="AD2190" s="26"/>
    </row>
    <row r="2191" spans="30:30" ht="20.25" customHeight="1" x14ac:dyDescent="0.25">
      <c r="AD2191" s="26"/>
    </row>
    <row r="2192" spans="30:30" ht="20.25" customHeight="1" x14ac:dyDescent="0.25">
      <c r="AD2192" s="26"/>
    </row>
    <row r="2193" spans="30:30" ht="20.25" customHeight="1" x14ac:dyDescent="0.25">
      <c r="AD2193" s="26"/>
    </row>
    <row r="2194" spans="30:30" ht="20.25" customHeight="1" x14ac:dyDescent="0.25">
      <c r="AD2194" s="26"/>
    </row>
    <row r="2195" spans="30:30" ht="20.25" customHeight="1" x14ac:dyDescent="0.25">
      <c r="AD2195" s="26"/>
    </row>
    <row r="2196" spans="30:30" ht="20.25" customHeight="1" x14ac:dyDescent="0.25">
      <c r="AD2196" s="26"/>
    </row>
    <row r="2197" spans="30:30" ht="20.25" customHeight="1" x14ac:dyDescent="0.25">
      <c r="AD2197" s="26"/>
    </row>
    <row r="2198" spans="30:30" ht="20.25" customHeight="1" x14ac:dyDescent="0.25">
      <c r="AD2198" s="26"/>
    </row>
    <row r="2199" spans="30:30" ht="20.25" customHeight="1" x14ac:dyDescent="0.25">
      <c r="AD2199" s="26"/>
    </row>
    <row r="2200" spans="30:30" ht="20.25" customHeight="1" x14ac:dyDescent="0.25">
      <c r="AD2200" s="26"/>
    </row>
    <row r="2201" spans="30:30" ht="20.25" customHeight="1" x14ac:dyDescent="0.25">
      <c r="AD2201" s="26"/>
    </row>
    <row r="2202" spans="30:30" ht="20.25" customHeight="1" x14ac:dyDescent="0.25">
      <c r="AD2202" s="26"/>
    </row>
    <row r="2203" spans="30:30" ht="20.25" customHeight="1" x14ac:dyDescent="0.25">
      <c r="AD2203" s="26"/>
    </row>
    <row r="2204" spans="30:30" ht="20.25" customHeight="1" x14ac:dyDescent="0.25">
      <c r="AD2204" s="26"/>
    </row>
    <row r="2205" spans="30:30" ht="20.25" customHeight="1" x14ac:dyDescent="0.25">
      <c r="AD2205" s="26"/>
    </row>
    <row r="2206" spans="30:30" ht="20.25" customHeight="1" x14ac:dyDescent="0.25">
      <c r="AD2206" s="26"/>
    </row>
    <row r="2207" spans="30:30" ht="20.25" customHeight="1" x14ac:dyDescent="0.25">
      <c r="AD2207" s="26"/>
    </row>
    <row r="2208" spans="30:30" ht="20.25" customHeight="1" x14ac:dyDescent="0.25">
      <c r="AD2208" s="26"/>
    </row>
    <row r="2209" spans="30:30" ht="20.25" customHeight="1" x14ac:dyDescent="0.25">
      <c r="AD2209" s="26"/>
    </row>
    <row r="2210" spans="30:30" ht="20.25" customHeight="1" x14ac:dyDescent="0.25">
      <c r="AD2210" s="26"/>
    </row>
    <row r="2211" spans="30:30" ht="20.25" customHeight="1" x14ac:dyDescent="0.25">
      <c r="AD2211" s="26"/>
    </row>
    <row r="2212" spans="30:30" ht="20.25" customHeight="1" x14ac:dyDescent="0.25">
      <c r="AD2212" s="26"/>
    </row>
    <row r="2213" spans="30:30" ht="20.25" customHeight="1" x14ac:dyDescent="0.25">
      <c r="AD2213" s="26"/>
    </row>
    <row r="2214" spans="30:30" ht="20.25" customHeight="1" x14ac:dyDescent="0.25">
      <c r="AD2214" s="26"/>
    </row>
    <row r="2215" spans="30:30" ht="20.25" customHeight="1" x14ac:dyDescent="0.25">
      <c r="AD2215" s="26"/>
    </row>
    <row r="2216" spans="30:30" ht="20.25" customHeight="1" x14ac:dyDescent="0.25">
      <c r="AD2216" s="26"/>
    </row>
    <row r="2217" spans="30:30" ht="20.25" customHeight="1" x14ac:dyDescent="0.25">
      <c r="AD2217" s="26"/>
    </row>
    <row r="2218" spans="30:30" ht="20.25" customHeight="1" x14ac:dyDescent="0.25">
      <c r="AD2218" s="26"/>
    </row>
    <row r="2219" spans="30:30" ht="20.25" customHeight="1" x14ac:dyDescent="0.25">
      <c r="AD2219" s="26"/>
    </row>
    <row r="2220" spans="30:30" ht="20.25" customHeight="1" x14ac:dyDescent="0.25">
      <c r="AD2220" s="26"/>
    </row>
    <row r="2221" spans="30:30" ht="20.25" customHeight="1" x14ac:dyDescent="0.25">
      <c r="AD2221" s="26"/>
    </row>
    <row r="2222" spans="30:30" ht="20.25" customHeight="1" x14ac:dyDescent="0.25">
      <c r="AD2222" s="26"/>
    </row>
    <row r="2223" spans="30:30" ht="20.25" customHeight="1" x14ac:dyDescent="0.25">
      <c r="AD2223" s="26"/>
    </row>
    <row r="2224" spans="30:30" ht="20.25" customHeight="1" x14ac:dyDescent="0.25">
      <c r="AD2224" s="26"/>
    </row>
    <row r="2225" spans="30:30" ht="20.25" customHeight="1" x14ac:dyDescent="0.25">
      <c r="AD2225" s="26"/>
    </row>
    <row r="2226" spans="30:30" ht="20.25" customHeight="1" x14ac:dyDescent="0.25">
      <c r="AD2226" s="26"/>
    </row>
    <row r="2227" spans="30:30" ht="20.25" customHeight="1" x14ac:dyDescent="0.25">
      <c r="AD2227" s="26"/>
    </row>
    <row r="2228" spans="30:30" ht="20.25" customHeight="1" x14ac:dyDescent="0.25">
      <c r="AD2228" s="26"/>
    </row>
    <row r="2229" spans="30:30" ht="20.25" customHeight="1" x14ac:dyDescent="0.25">
      <c r="AD2229" s="26"/>
    </row>
    <row r="2230" spans="30:30" ht="20.25" customHeight="1" x14ac:dyDescent="0.25">
      <c r="AD2230" s="26"/>
    </row>
    <row r="2231" spans="30:30" ht="20.25" customHeight="1" x14ac:dyDescent="0.25">
      <c r="AD2231" s="26"/>
    </row>
    <row r="2232" spans="30:30" ht="20.25" customHeight="1" x14ac:dyDescent="0.25">
      <c r="AD2232" s="26"/>
    </row>
    <row r="2233" spans="30:30" ht="20.25" customHeight="1" x14ac:dyDescent="0.25">
      <c r="AD2233" s="26"/>
    </row>
    <row r="2234" spans="30:30" ht="20.25" customHeight="1" x14ac:dyDescent="0.25">
      <c r="AD2234" s="26"/>
    </row>
    <row r="2235" spans="30:30" ht="20.25" customHeight="1" x14ac:dyDescent="0.25">
      <c r="AD2235" s="26"/>
    </row>
    <row r="2236" spans="30:30" ht="20.25" customHeight="1" x14ac:dyDescent="0.25">
      <c r="AD2236" s="26"/>
    </row>
    <row r="2237" spans="30:30" ht="20.25" customHeight="1" x14ac:dyDescent="0.25">
      <c r="AD2237" s="26"/>
    </row>
    <row r="2238" spans="30:30" ht="20.25" customHeight="1" x14ac:dyDescent="0.25">
      <c r="AD2238" s="26"/>
    </row>
    <row r="2239" spans="30:30" ht="20.25" customHeight="1" x14ac:dyDescent="0.25">
      <c r="AD2239" s="26"/>
    </row>
    <row r="2240" spans="30:30" ht="20.25" customHeight="1" x14ac:dyDescent="0.25">
      <c r="AD2240" s="26"/>
    </row>
    <row r="2241" spans="30:30" ht="20.25" customHeight="1" x14ac:dyDescent="0.25">
      <c r="AD2241" s="26"/>
    </row>
    <row r="2242" spans="30:30" ht="20.25" customHeight="1" x14ac:dyDescent="0.25">
      <c r="AD2242" s="26"/>
    </row>
    <row r="2243" spans="30:30" ht="20.25" customHeight="1" x14ac:dyDescent="0.25">
      <c r="AD2243" s="26"/>
    </row>
    <row r="2244" spans="30:30" ht="20.25" customHeight="1" x14ac:dyDescent="0.25">
      <c r="AD2244" s="26"/>
    </row>
    <row r="2245" spans="30:30" ht="20.25" customHeight="1" x14ac:dyDescent="0.25">
      <c r="AD2245" s="26"/>
    </row>
    <row r="2246" spans="30:30" ht="20.25" customHeight="1" x14ac:dyDescent="0.25">
      <c r="AD2246" s="26"/>
    </row>
    <row r="2247" spans="30:30" ht="20.25" customHeight="1" x14ac:dyDescent="0.25">
      <c r="AD2247" s="26"/>
    </row>
    <row r="2248" spans="30:30" ht="20.25" customHeight="1" x14ac:dyDescent="0.25">
      <c r="AD2248" s="26"/>
    </row>
    <row r="2249" spans="30:30" ht="20.25" customHeight="1" x14ac:dyDescent="0.25">
      <c r="AD2249" s="26"/>
    </row>
    <row r="2250" spans="30:30" ht="20.25" customHeight="1" x14ac:dyDescent="0.25">
      <c r="AD2250" s="26"/>
    </row>
    <row r="2251" spans="30:30" ht="20.25" customHeight="1" x14ac:dyDescent="0.25">
      <c r="AD2251" s="26"/>
    </row>
    <row r="2252" spans="30:30" ht="20.25" customHeight="1" x14ac:dyDescent="0.25">
      <c r="AD2252" s="26"/>
    </row>
    <row r="2253" spans="30:30" ht="20.25" customHeight="1" x14ac:dyDescent="0.25">
      <c r="AD2253" s="26"/>
    </row>
    <row r="2254" spans="30:30" ht="20.25" customHeight="1" x14ac:dyDescent="0.25">
      <c r="AD2254" s="26"/>
    </row>
    <row r="2255" spans="30:30" ht="20.25" customHeight="1" x14ac:dyDescent="0.25">
      <c r="AD2255" s="26"/>
    </row>
    <row r="2256" spans="30:30" ht="20.25" customHeight="1" x14ac:dyDescent="0.25">
      <c r="AD2256" s="26"/>
    </row>
    <row r="2257" spans="30:30" ht="20.25" customHeight="1" x14ac:dyDescent="0.25">
      <c r="AD2257" s="26"/>
    </row>
    <row r="2258" spans="30:30" ht="20.25" customHeight="1" x14ac:dyDescent="0.25">
      <c r="AD2258" s="26"/>
    </row>
    <row r="2259" spans="30:30" ht="20.25" customHeight="1" x14ac:dyDescent="0.25">
      <c r="AD2259" s="26"/>
    </row>
    <row r="2260" spans="30:30" ht="20.25" customHeight="1" x14ac:dyDescent="0.25">
      <c r="AD2260" s="26"/>
    </row>
    <row r="2261" spans="30:30" ht="20.25" customHeight="1" x14ac:dyDescent="0.25">
      <c r="AD2261" s="26"/>
    </row>
    <row r="2262" spans="30:30" ht="20.25" customHeight="1" x14ac:dyDescent="0.25">
      <c r="AD2262" s="26"/>
    </row>
    <row r="2263" spans="30:30" ht="20.25" customHeight="1" x14ac:dyDescent="0.25">
      <c r="AD2263" s="26"/>
    </row>
    <row r="2264" spans="30:30" ht="20.25" customHeight="1" x14ac:dyDescent="0.25">
      <c r="AD2264" s="26"/>
    </row>
    <row r="2265" spans="30:30" ht="20.25" customHeight="1" x14ac:dyDescent="0.25">
      <c r="AD2265" s="26"/>
    </row>
    <row r="2266" spans="30:30" ht="20.25" customHeight="1" x14ac:dyDescent="0.25">
      <c r="AD2266" s="26"/>
    </row>
    <row r="2267" spans="30:30" ht="20.25" customHeight="1" x14ac:dyDescent="0.25">
      <c r="AD2267" s="26"/>
    </row>
    <row r="2268" spans="30:30" ht="20.25" customHeight="1" x14ac:dyDescent="0.25">
      <c r="AD2268" s="26"/>
    </row>
    <row r="2269" spans="30:30" ht="20.25" customHeight="1" x14ac:dyDescent="0.25">
      <c r="AD2269" s="26"/>
    </row>
    <row r="2270" spans="30:30" ht="20.25" customHeight="1" x14ac:dyDescent="0.25">
      <c r="AD2270" s="26"/>
    </row>
    <row r="2271" spans="30:30" ht="20.25" customHeight="1" x14ac:dyDescent="0.25">
      <c r="AD2271" s="26"/>
    </row>
    <row r="2272" spans="30:30" ht="20.25" customHeight="1" x14ac:dyDescent="0.25">
      <c r="AD2272" s="26"/>
    </row>
    <row r="2273" spans="30:30" ht="20.25" customHeight="1" x14ac:dyDescent="0.25">
      <c r="AD2273" s="26"/>
    </row>
    <row r="2274" spans="30:30" ht="20.25" customHeight="1" x14ac:dyDescent="0.25">
      <c r="AD2274" s="26"/>
    </row>
    <row r="2275" spans="30:30" ht="20.25" customHeight="1" x14ac:dyDescent="0.25">
      <c r="AD2275" s="26"/>
    </row>
    <row r="2276" spans="30:30" ht="20.25" customHeight="1" x14ac:dyDescent="0.25">
      <c r="AD2276" s="26"/>
    </row>
    <row r="2277" spans="30:30" ht="20.25" customHeight="1" x14ac:dyDescent="0.25">
      <c r="AD2277" s="26"/>
    </row>
    <row r="2278" spans="30:30" ht="20.25" customHeight="1" x14ac:dyDescent="0.25">
      <c r="AD2278" s="26"/>
    </row>
    <row r="2279" spans="30:30" ht="20.25" customHeight="1" x14ac:dyDescent="0.25">
      <c r="AD2279" s="26"/>
    </row>
    <row r="2280" spans="30:30" ht="20.25" customHeight="1" x14ac:dyDescent="0.25">
      <c r="AD2280" s="26"/>
    </row>
    <row r="2281" spans="30:30" ht="20.25" customHeight="1" x14ac:dyDescent="0.25">
      <c r="AD2281" s="26"/>
    </row>
    <row r="2282" spans="30:30" ht="20.25" customHeight="1" x14ac:dyDescent="0.25">
      <c r="AD2282" s="26"/>
    </row>
    <row r="2283" spans="30:30" ht="20.25" customHeight="1" x14ac:dyDescent="0.25">
      <c r="AD2283" s="26"/>
    </row>
    <row r="2284" spans="30:30" ht="20.25" customHeight="1" x14ac:dyDescent="0.25">
      <c r="AD2284" s="26"/>
    </row>
    <row r="2285" spans="30:30" ht="20.25" customHeight="1" x14ac:dyDescent="0.25">
      <c r="AD2285" s="26"/>
    </row>
    <row r="2286" spans="30:30" ht="20.25" customHeight="1" x14ac:dyDescent="0.25">
      <c r="AD2286" s="26"/>
    </row>
    <row r="2287" spans="30:30" ht="20.25" customHeight="1" x14ac:dyDescent="0.25">
      <c r="AD2287" s="26"/>
    </row>
    <row r="2288" spans="30:30" ht="20.25" customHeight="1" x14ac:dyDescent="0.25">
      <c r="AD2288" s="26"/>
    </row>
    <row r="2289" spans="30:30" ht="20.25" customHeight="1" x14ac:dyDescent="0.25">
      <c r="AD2289" s="26"/>
    </row>
    <row r="2290" spans="30:30" ht="20.25" customHeight="1" x14ac:dyDescent="0.25">
      <c r="AD2290" s="26"/>
    </row>
    <row r="2291" spans="30:30" ht="20.25" customHeight="1" x14ac:dyDescent="0.25">
      <c r="AD2291" s="26"/>
    </row>
    <row r="2292" spans="30:30" ht="20.25" customHeight="1" x14ac:dyDescent="0.25">
      <c r="AD2292" s="26"/>
    </row>
    <row r="2293" spans="30:30" ht="20.25" customHeight="1" x14ac:dyDescent="0.25">
      <c r="AD2293" s="26"/>
    </row>
    <row r="2294" spans="30:30" ht="20.25" customHeight="1" x14ac:dyDescent="0.25">
      <c r="AD2294" s="26"/>
    </row>
    <row r="2295" spans="30:30" ht="20.25" customHeight="1" x14ac:dyDescent="0.25">
      <c r="AD2295" s="26"/>
    </row>
    <row r="2296" spans="30:30" ht="20.25" customHeight="1" x14ac:dyDescent="0.25">
      <c r="AD2296" s="26"/>
    </row>
    <row r="2297" spans="30:30" ht="20.25" customHeight="1" x14ac:dyDescent="0.25">
      <c r="AD2297" s="26"/>
    </row>
    <row r="2298" spans="30:30" ht="20.25" customHeight="1" x14ac:dyDescent="0.25">
      <c r="AD2298" s="26"/>
    </row>
    <row r="2299" spans="30:30" ht="20.25" customHeight="1" x14ac:dyDescent="0.25">
      <c r="AD2299" s="26"/>
    </row>
    <row r="2300" spans="30:30" ht="20.25" customHeight="1" x14ac:dyDescent="0.25">
      <c r="AD2300" s="26"/>
    </row>
    <row r="2301" spans="30:30" ht="20.25" customHeight="1" x14ac:dyDescent="0.25">
      <c r="AD2301" s="26"/>
    </row>
    <row r="2302" spans="30:30" ht="20.25" customHeight="1" x14ac:dyDescent="0.25">
      <c r="AD2302" s="26"/>
    </row>
    <row r="2303" spans="30:30" ht="20.25" customHeight="1" x14ac:dyDescent="0.25">
      <c r="AD2303" s="26"/>
    </row>
    <row r="2304" spans="30:30" ht="20.25" customHeight="1" x14ac:dyDescent="0.25">
      <c r="AD2304" s="26"/>
    </row>
    <row r="2305" spans="30:30" ht="20.25" customHeight="1" x14ac:dyDescent="0.25">
      <c r="AD2305" s="26"/>
    </row>
    <row r="2306" spans="30:30" ht="20.25" customHeight="1" x14ac:dyDescent="0.25">
      <c r="AD2306" s="26"/>
    </row>
    <row r="2307" spans="30:30" ht="20.25" customHeight="1" x14ac:dyDescent="0.25">
      <c r="AD2307" s="26"/>
    </row>
    <row r="2308" spans="30:30" ht="20.25" customHeight="1" x14ac:dyDescent="0.25">
      <c r="AD2308" s="26"/>
    </row>
    <row r="2309" spans="30:30" ht="20.25" customHeight="1" x14ac:dyDescent="0.25">
      <c r="AD2309" s="26"/>
    </row>
    <row r="2310" spans="30:30" ht="20.25" customHeight="1" x14ac:dyDescent="0.25">
      <c r="AD2310" s="26"/>
    </row>
    <row r="2311" spans="30:30" ht="20.25" customHeight="1" x14ac:dyDescent="0.25">
      <c r="AD2311" s="26"/>
    </row>
    <row r="2312" spans="30:30" ht="20.25" customHeight="1" x14ac:dyDescent="0.25">
      <c r="AD2312" s="26"/>
    </row>
    <row r="2313" spans="30:30" ht="20.25" customHeight="1" x14ac:dyDescent="0.25">
      <c r="AD2313" s="26"/>
    </row>
    <row r="2314" spans="30:30" ht="20.25" customHeight="1" x14ac:dyDescent="0.25">
      <c r="AD2314" s="26"/>
    </row>
    <row r="2315" spans="30:30" ht="20.25" customHeight="1" x14ac:dyDescent="0.25">
      <c r="AD2315" s="26"/>
    </row>
    <row r="2316" spans="30:30" ht="20.25" customHeight="1" x14ac:dyDescent="0.25">
      <c r="AD2316" s="26"/>
    </row>
    <row r="2317" spans="30:30" ht="20.25" customHeight="1" x14ac:dyDescent="0.25">
      <c r="AD2317" s="26"/>
    </row>
    <row r="2318" spans="30:30" ht="20.25" customHeight="1" x14ac:dyDescent="0.25">
      <c r="AD2318" s="26"/>
    </row>
    <row r="2319" spans="30:30" ht="20.25" customHeight="1" x14ac:dyDescent="0.25">
      <c r="AD2319" s="26"/>
    </row>
    <row r="2320" spans="30:30" ht="20.25" customHeight="1" x14ac:dyDescent="0.25">
      <c r="AD2320" s="26"/>
    </row>
    <row r="2321" spans="30:30" ht="20.25" customHeight="1" x14ac:dyDescent="0.25">
      <c r="AD2321" s="26"/>
    </row>
    <row r="2322" spans="30:30" ht="20.25" customHeight="1" x14ac:dyDescent="0.25">
      <c r="AD2322" s="26"/>
    </row>
    <row r="2323" spans="30:30" ht="20.25" customHeight="1" x14ac:dyDescent="0.25">
      <c r="AD2323" s="26"/>
    </row>
    <row r="2324" spans="30:30" ht="20.25" customHeight="1" x14ac:dyDescent="0.25">
      <c r="AD2324" s="26"/>
    </row>
    <row r="2325" spans="30:30" ht="20.25" customHeight="1" x14ac:dyDescent="0.25">
      <c r="AD2325" s="26"/>
    </row>
    <row r="2326" spans="30:30" ht="20.25" customHeight="1" x14ac:dyDescent="0.25">
      <c r="AD2326" s="26"/>
    </row>
    <row r="2327" spans="30:30" ht="20.25" customHeight="1" x14ac:dyDescent="0.25">
      <c r="AD2327" s="26"/>
    </row>
    <row r="2328" spans="30:30" ht="20.25" customHeight="1" x14ac:dyDescent="0.25">
      <c r="AD2328" s="26"/>
    </row>
    <row r="2329" spans="30:30" ht="20.25" customHeight="1" x14ac:dyDescent="0.25">
      <c r="AD2329" s="26"/>
    </row>
    <row r="2330" spans="30:30" ht="20.25" customHeight="1" x14ac:dyDescent="0.25">
      <c r="AD2330" s="26"/>
    </row>
    <row r="2331" spans="30:30" ht="20.25" customHeight="1" x14ac:dyDescent="0.25">
      <c r="AD2331" s="26"/>
    </row>
    <row r="2332" spans="30:30" ht="20.25" customHeight="1" x14ac:dyDescent="0.25">
      <c r="AD2332" s="26"/>
    </row>
    <row r="2333" spans="30:30" ht="20.25" customHeight="1" x14ac:dyDescent="0.25">
      <c r="AD2333" s="26"/>
    </row>
    <row r="2334" spans="30:30" ht="20.25" customHeight="1" x14ac:dyDescent="0.25">
      <c r="AD2334" s="26"/>
    </row>
    <row r="2335" spans="30:30" ht="20.25" customHeight="1" x14ac:dyDescent="0.25">
      <c r="AD2335" s="26"/>
    </row>
    <row r="2336" spans="30:30" ht="20.25" customHeight="1" x14ac:dyDescent="0.25">
      <c r="AD2336" s="26"/>
    </row>
    <row r="2337" spans="30:30" ht="20.25" customHeight="1" x14ac:dyDescent="0.25">
      <c r="AD2337" s="26"/>
    </row>
    <row r="2338" spans="30:30" ht="20.25" customHeight="1" x14ac:dyDescent="0.25">
      <c r="AD2338" s="26"/>
    </row>
    <row r="2339" spans="30:30" ht="20.25" customHeight="1" x14ac:dyDescent="0.25">
      <c r="AD2339" s="26"/>
    </row>
    <row r="2340" spans="30:30" ht="20.25" customHeight="1" x14ac:dyDescent="0.25">
      <c r="AD2340" s="26"/>
    </row>
    <row r="2341" spans="30:30" ht="20.25" customHeight="1" x14ac:dyDescent="0.25">
      <c r="AD2341" s="26"/>
    </row>
    <row r="2342" spans="30:30" ht="20.25" customHeight="1" x14ac:dyDescent="0.25">
      <c r="AD2342" s="26"/>
    </row>
    <row r="2343" spans="30:30" ht="20.25" customHeight="1" x14ac:dyDescent="0.25">
      <c r="AD2343" s="26"/>
    </row>
    <row r="2344" spans="30:30" ht="20.25" customHeight="1" x14ac:dyDescent="0.25">
      <c r="AD2344" s="26"/>
    </row>
    <row r="2345" spans="30:30" ht="20.25" customHeight="1" x14ac:dyDescent="0.25">
      <c r="AD2345" s="26"/>
    </row>
    <row r="2346" spans="30:30" ht="20.25" customHeight="1" x14ac:dyDescent="0.25">
      <c r="AD2346" s="26"/>
    </row>
    <row r="2347" spans="30:30" ht="20.25" customHeight="1" x14ac:dyDescent="0.25">
      <c r="AD2347" s="26"/>
    </row>
    <row r="2348" spans="30:30" ht="20.25" customHeight="1" x14ac:dyDescent="0.25">
      <c r="AD2348" s="26"/>
    </row>
    <row r="2349" spans="30:30" ht="20.25" customHeight="1" x14ac:dyDescent="0.25">
      <c r="AD2349" s="26"/>
    </row>
    <row r="2350" spans="30:30" ht="20.25" customHeight="1" x14ac:dyDescent="0.25">
      <c r="AD2350" s="26"/>
    </row>
    <row r="2351" spans="30:30" ht="20.25" customHeight="1" x14ac:dyDescent="0.25">
      <c r="AD2351" s="26"/>
    </row>
    <row r="2352" spans="30:30" ht="20.25" customHeight="1" x14ac:dyDescent="0.25">
      <c r="AD2352" s="26"/>
    </row>
    <row r="2353" spans="30:30" ht="20.25" customHeight="1" x14ac:dyDescent="0.25">
      <c r="AD2353" s="26"/>
    </row>
    <row r="2354" spans="30:30" ht="20.25" customHeight="1" x14ac:dyDescent="0.25">
      <c r="AD2354" s="26"/>
    </row>
    <row r="2355" spans="30:30" ht="20.25" customHeight="1" x14ac:dyDescent="0.25">
      <c r="AD2355" s="26"/>
    </row>
    <row r="2356" spans="30:30" ht="20.25" customHeight="1" x14ac:dyDescent="0.25">
      <c r="AD2356" s="26"/>
    </row>
    <row r="2357" spans="30:30" ht="20.25" customHeight="1" x14ac:dyDescent="0.25">
      <c r="AD2357" s="26"/>
    </row>
    <row r="2358" spans="30:30" ht="20.25" customHeight="1" x14ac:dyDescent="0.25">
      <c r="AD2358" s="26"/>
    </row>
    <row r="2359" spans="30:30" ht="20.25" customHeight="1" x14ac:dyDescent="0.25">
      <c r="AD2359" s="26"/>
    </row>
    <row r="2360" spans="30:30" ht="20.25" customHeight="1" x14ac:dyDescent="0.25">
      <c r="AD2360" s="26"/>
    </row>
    <row r="2361" spans="30:30" ht="20.25" customHeight="1" x14ac:dyDescent="0.25">
      <c r="AD2361" s="26"/>
    </row>
    <row r="2362" spans="30:30" ht="20.25" customHeight="1" x14ac:dyDescent="0.25">
      <c r="AD2362" s="26"/>
    </row>
    <row r="2363" spans="30:30" ht="20.25" customHeight="1" x14ac:dyDescent="0.25">
      <c r="AD2363" s="26"/>
    </row>
    <row r="2364" spans="30:30" ht="20.25" customHeight="1" x14ac:dyDescent="0.25">
      <c r="AD2364" s="26"/>
    </row>
    <row r="2365" spans="30:30" ht="20.25" customHeight="1" x14ac:dyDescent="0.25">
      <c r="AD2365" s="26"/>
    </row>
    <row r="2366" spans="30:30" ht="20.25" customHeight="1" x14ac:dyDescent="0.25">
      <c r="AD2366" s="26"/>
    </row>
    <row r="2367" spans="30:30" ht="20.25" customHeight="1" x14ac:dyDescent="0.25">
      <c r="AD2367" s="26"/>
    </row>
    <row r="2368" spans="30:30" ht="20.25" customHeight="1" x14ac:dyDescent="0.25">
      <c r="AD2368" s="26"/>
    </row>
    <row r="2369" spans="30:30" ht="20.25" customHeight="1" x14ac:dyDescent="0.25">
      <c r="AD2369" s="26"/>
    </row>
    <row r="2370" spans="30:30" ht="20.25" customHeight="1" x14ac:dyDescent="0.25">
      <c r="AD2370" s="26"/>
    </row>
    <row r="2371" spans="30:30" ht="20.25" customHeight="1" x14ac:dyDescent="0.25">
      <c r="AD2371" s="26"/>
    </row>
    <row r="2372" spans="30:30" ht="20.25" customHeight="1" x14ac:dyDescent="0.25">
      <c r="AD2372" s="26"/>
    </row>
    <row r="2373" spans="30:30" ht="20.25" customHeight="1" x14ac:dyDescent="0.25">
      <c r="AD2373" s="26"/>
    </row>
    <row r="2374" spans="30:30" ht="20.25" customHeight="1" x14ac:dyDescent="0.25">
      <c r="AD2374" s="26"/>
    </row>
    <row r="2375" spans="30:30" ht="20.25" customHeight="1" x14ac:dyDescent="0.25">
      <c r="AD2375" s="26"/>
    </row>
    <row r="2376" spans="30:30" ht="20.25" customHeight="1" x14ac:dyDescent="0.25">
      <c r="AD2376" s="26"/>
    </row>
    <row r="2377" spans="30:30" ht="20.25" customHeight="1" x14ac:dyDescent="0.25">
      <c r="AD2377" s="26"/>
    </row>
    <row r="2378" spans="30:30" ht="20.25" customHeight="1" x14ac:dyDescent="0.25">
      <c r="AD2378" s="26"/>
    </row>
    <row r="2379" spans="30:30" ht="20.25" customHeight="1" x14ac:dyDescent="0.25">
      <c r="AD2379" s="26"/>
    </row>
    <row r="2380" spans="30:30" ht="20.25" customHeight="1" x14ac:dyDescent="0.25">
      <c r="AD2380" s="26"/>
    </row>
    <row r="2381" spans="30:30" ht="20.25" customHeight="1" x14ac:dyDescent="0.25">
      <c r="AD2381" s="26"/>
    </row>
    <row r="2382" spans="30:30" ht="20.25" customHeight="1" x14ac:dyDescent="0.25">
      <c r="AD2382" s="26"/>
    </row>
    <row r="2383" spans="30:30" ht="20.25" customHeight="1" x14ac:dyDescent="0.25">
      <c r="AD2383" s="26"/>
    </row>
    <row r="2384" spans="30:30" ht="20.25" customHeight="1" x14ac:dyDescent="0.25">
      <c r="AD2384" s="26"/>
    </row>
    <row r="2385" spans="30:30" ht="20.25" customHeight="1" x14ac:dyDescent="0.25">
      <c r="AD2385" s="26"/>
    </row>
    <row r="2386" spans="30:30" ht="20.25" customHeight="1" x14ac:dyDescent="0.25">
      <c r="AD2386" s="26"/>
    </row>
    <row r="2387" spans="30:30" ht="20.25" customHeight="1" x14ac:dyDescent="0.25">
      <c r="AD2387" s="26"/>
    </row>
    <row r="2388" spans="30:30" ht="20.25" customHeight="1" x14ac:dyDescent="0.25">
      <c r="AD2388" s="26"/>
    </row>
    <row r="2389" spans="30:30" ht="20.25" customHeight="1" x14ac:dyDescent="0.25">
      <c r="AD2389" s="26"/>
    </row>
    <row r="2390" spans="30:30" ht="20.25" customHeight="1" x14ac:dyDescent="0.25">
      <c r="AD2390" s="26"/>
    </row>
    <row r="2391" spans="30:30" ht="20.25" customHeight="1" x14ac:dyDescent="0.25">
      <c r="AD2391" s="26"/>
    </row>
    <row r="2392" spans="30:30" ht="20.25" customHeight="1" x14ac:dyDescent="0.25">
      <c r="AD2392" s="26"/>
    </row>
    <row r="2393" spans="30:30" ht="20.25" customHeight="1" x14ac:dyDescent="0.25">
      <c r="AD2393" s="26"/>
    </row>
    <row r="2394" spans="30:30" ht="20.25" customHeight="1" x14ac:dyDescent="0.25">
      <c r="AD2394" s="26"/>
    </row>
    <row r="2395" spans="30:30" ht="20.25" customHeight="1" x14ac:dyDescent="0.25">
      <c r="AD2395" s="26"/>
    </row>
    <row r="2396" spans="30:30" ht="20.25" customHeight="1" x14ac:dyDescent="0.25">
      <c r="AD2396" s="26"/>
    </row>
    <row r="2397" spans="30:30" ht="20.25" customHeight="1" x14ac:dyDescent="0.25">
      <c r="AD2397" s="26"/>
    </row>
    <row r="2398" spans="30:30" ht="20.25" customHeight="1" x14ac:dyDescent="0.25">
      <c r="AD2398" s="26"/>
    </row>
    <row r="2399" spans="30:30" ht="20.25" customHeight="1" x14ac:dyDescent="0.25">
      <c r="AD2399" s="26"/>
    </row>
    <row r="2400" spans="30:30" ht="20.25" customHeight="1" x14ac:dyDescent="0.25">
      <c r="AD2400" s="26"/>
    </row>
    <row r="2401" spans="30:30" ht="20.25" customHeight="1" x14ac:dyDescent="0.25">
      <c r="AD2401" s="26"/>
    </row>
    <row r="2402" spans="30:30" ht="20.25" customHeight="1" x14ac:dyDescent="0.25">
      <c r="AD2402" s="26"/>
    </row>
    <row r="2403" spans="30:30" ht="20.25" customHeight="1" x14ac:dyDescent="0.25">
      <c r="AD2403" s="26"/>
    </row>
    <row r="2404" spans="30:30" ht="20.25" customHeight="1" x14ac:dyDescent="0.25">
      <c r="AD2404" s="26"/>
    </row>
    <row r="2405" spans="30:30" ht="20.25" customHeight="1" x14ac:dyDescent="0.25">
      <c r="AD2405" s="26"/>
    </row>
    <row r="2406" spans="30:30" ht="20.25" customHeight="1" x14ac:dyDescent="0.25">
      <c r="AD2406" s="26"/>
    </row>
    <row r="2407" spans="30:30" ht="20.25" customHeight="1" x14ac:dyDescent="0.25">
      <c r="AD2407" s="26"/>
    </row>
    <row r="2408" spans="30:30" ht="20.25" customHeight="1" x14ac:dyDescent="0.25">
      <c r="AD2408" s="26"/>
    </row>
    <row r="2409" spans="30:30" ht="20.25" customHeight="1" x14ac:dyDescent="0.25">
      <c r="AD2409" s="26"/>
    </row>
    <row r="2410" spans="30:30" ht="20.25" customHeight="1" x14ac:dyDescent="0.25">
      <c r="AD2410" s="26"/>
    </row>
    <row r="2411" spans="30:30" ht="20.25" customHeight="1" x14ac:dyDescent="0.25">
      <c r="AD2411" s="26"/>
    </row>
    <row r="2412" spans="30:30" ht="20.25" customHeight="1" x14ac:dyDescent="0.25">
      <c r="AD2412" s="26"/>
    </row>
    <row r="2413" spans="30:30" ht="20.25" customHeight="1" x14ac:dyDescent="0.25">
      <c r="AD2413" s="26"/>
    </row>
    <row r="2414" spans="30:30" ht="20.25" customHeight="1" x14ac:dyDescent="0.25">
      <c r="AD2414" s="26"/>
    </row>
    <row r="2415" spans="30:30" ht="20.25" customHeight="1" x14ac:dyDescent="0.25">
      <c r="AD2415" s="26"/>
    </row>
    <row r="2416" spans="30:30" ht="20.25" customHeight="1" x14ac:dyDescent="0.25">
      <c r="AD2416" s="26"/>
    </row>
    <row r="2417" spans="30:30" ht="20.25" customHeight="1" x14ac:dyDescent="0.25">
      <c r="AD2417" s="26"/>
    </row>
    <row r="2418" spans="30:30" ht="20.25" customHeight="1" x14ac:dyDescent="0.25">
      <c r="AD2418" s="26"/>
    </row>
    <row r="2419" spans="30:30" ht="20.25" customHeight="1" x14ac:dyDescent="0.25">
      <c r="AD2419" s="26"/>
    </row>
    <row r="2420" spans="30:30" ht="20.25" customHeight="1" x14ac:dyDescent="0.25">
      <c r="AD2420" s="26"/>
    </row>
    <row r="2421" spans="30:30" ht="20.25" customHeight="1" x14ac:dyDescent="0.25">
      <c r="AD2421" s="26"/>
    </row>
    <row r="2422" spans="30:30" ht="20.25" customHeight="1" x14ac:dyDescent="0.25">
      <c r="AD2422" s="26"/>
    </row>
    <row r="2423" spans="30:30" ht="20.25" customHeight="1" x14ac:dyDescent="0.25">
      <c r="AD2423" s="26"/>
    </row>
    <row r="2424" spans="30:30" ht="20.25" customHeight="1" x14ac:dyDescent="0.25">
      <c r="AD2424" s="26"/>
    </row>
    <row r="2425" spans="30:30" ht="20.25" customHeight="1" x14ac:dyDescent="0.25">
      <c r="AD2425" s="26"/>
    </row>
    <row r="2426" spans="30:30" ht="20.25" customHeight="1" x14ac:dyDescent="0.25">
      <c r="AD2426" s="26"/>
    </row>
    <row r="2427" spans="30:30" ht="20.25" customHeight="1" x14ac:dyDescent="0.25">
      <c r="AD2427" s="26"/>
    </row>
    <row r="2428" spans="30:30" ht="20.25" customHeight="1" x14ac:dyDescent="0.25">
      <c r="AD2428" s="26"/>
    </row>
    <row r="2429" spans="30:30" ht="20.25" customHeight="1" x14ac:dyDescent="0.25">
      <c r="AD2429" s="26"/>
    </row>
    <row r="2430" spans="30:30" ht="20.25" customHeight="1" x14ac:dyDescent="0.25">
      <c r="AD2430" s="26"/>
    </row>
    <row r="2431" spans="30:30" ht="20.25" customHeight="1" x14ac:dyDescent="0.25">
      <c r="AD2431" s="26"/>
    </row>
    <row r="2432" spans="30:30" ht="20.25" customHeight="1" x14ac:dyDescent="0.25">
      <c r="AD2432" s="26"/>
    </row>
    <row r="2433" spans="30:30" ht="20.25" customHeight="1" x14ac:dyDescent="0.25">
      <c r="AD2433" s="26"/>
    </row>
    <row r="2434" spans="30:30" ht="20.25" customHeight="1" x14ac:dyDescent="0.25">
      <c r="AD2434" s="26"/>
    </row>
    <row r="2435" spans="30:30" ht="20.25" customHeight="1" x14ac:dyDescent="0.25">
      <c r="AD2435" s="26"/>
    </row>
    <row r="2436" spans="30:30" ht="20.25" customHeight="1" x14ac:dyDescent="0.25">
      <c r="AD2436" s="26"/>
    </row>
    <row r="2437" spans="30:30" ht="20.25" customHeight="1" x14ac:dyDescent="0.25">
      <c r="AD2437" s="26"/>
    </row>
    <row r="2438" spans="30:30" ht="20.25" customHeight="1" x14ac:dyDescent="0.25">
      <c r="AD2438" s="26"/>
    </row>
    <row r="2439" spans="30:30" ht="20.25" customHeight="1" x14ac:dyDescent="0.25">
      <c r="AD2439" s="26"/>
    </row>
    <row r="2440" spans="30:30" ht="20.25" customHeight="1" x14ac:dyDescent="0.25">
      <c r="AD2440" s="26"/>
    </row>
    <row r="2441" spans="30:30" ht="20.25" customHeight="1" x14ac:dyDescent="0.25">
      <c r="AD2441" s="26"/>
    </row>
    <row r="2442" spans="30:30" ht="20.25" customHeight="1" x14ac:dyDescent="0.25">
      <c r="AD2442" s="26"/>
    </row>
    <row r="2443" spans="30:30" ht="20.25" customHeight="1" x14ac:dyDescent="0.25">
      <c r="AD2443" s="26"/>
    </row>
    <row r="2444" spans="30:30" ht="20.25" customHeight="1" x14ac:dyDescent="0.25">
      <c r="AD2444" s="26"/>
    </row>
    <row r="2445" spans="30:30" ht="20.25" customHeight="1" x14ac:dyDescent="0.25">
      <c r="AD2445" s="26"/>
    </row>
    <row r="2446" spans="30:30" ht="20.25" customHeight="1" x14ac:dyDescent="0.25">
      <c r="AD2446" s="26"/>
    </row>
    <row r="2447" spans="30:30" ht="20.25" customHeight="1" x14ac:dyDescent="0.25">
      <c r="AD2447" s="26"/>
    </row>
    <row r="2448" spans="30:30" ht="20.25" customHeight="1" x14ac:dyDescent="0.25">
      <c r="AD2448" s="26"/>
    </row>
    <row r="2449" spans="30:30" ht="20.25" customHeight="1" x14ac:dyDescent="0.25">
      <c r="AD2449" s="26"/>
    </row>
    <row r="2450" spans="30:30" ht="20.25" customHeight="1" x14ac:dyDescent="0.25">
      <c r="AD2450" s="26"/>
    </row>
    <row r="2451" spans="30:30" ht="20.25" customHeight="1" x14ac:dyDescent="0.25">
      <c r="AD2451" s="26"/>
    </row>
    <row r="2452" spans="30:30" ht="20.25" customHeight="1" x14ac:dyDescent="0.25">
      <c r="AD2452" s="26"/>
    </row>
    <row r="2453" spans="30:30" ht="20.25" customHeight="1" x14ac:dyDescent="0.25">
      <c r="AD2453" s="26"/>
    </row>
    <row r="2454" spans="30:30" ht="20.25" customHeight="1" x14ac:dyDescent="0.25">
      <c r="AD2454" s="26"/>
    </row>
    <row r="2455" spans="30:30" ht="20.25" customHeight="1" x14ac:dyDescent="0.25">
      <c r="AD2455" s="26"/>
    </row>
    <row r="2456" spans="30:30" ht="20.25" customHeight="1" x14ac:dyDescent="0.25">
      <c r="AD2456" s="26"/>
    </row>
    <row r="2457" spans="30:30" ht="20.25" customHeight="1" x14ac:dyDescent="0.25">
      <c r="AD2457" s="26"/>
    </row>
    <row r="2458" spans="30:30" ht="20.25" customHeight="1" x14ac:dyDescent="0.25">
      <c r="AD2458" s="26"/>
    </row>
    <row r="2459" spans="30:30" ht="20.25" customHeight="1" x14ac:dyDescent="0.25">
      <c r="AD2459" s="26"/>
    </row>
    <row r="2460" spans="30:30" ht="20.25" customHeight="1" x14ac:dyDescent="0.25">
      <c r="AD2460" s="26"/>
    </row>
    <row r="2461" spans="30:30" ht="20.25" customHeight="1" x14ac:dyDescent="0.25">
      <c r="AD2461" s="26"/>
    </row>
    <row r="2462" spans="30:30" ht="20.25" customHeight="1" x14ac:dyDescent="0.25">
      <c r="AD2462" s="26"/>
    </row>
    <row r="2463" spans="30:30" ht="20.25" customHeight="1" x14ac:dyDescent="0.25">
      <c r="AD2463" s="26"/>
    </row>
    <row r="2464" spans="30:30" ht="20.25" customHeight="1" x14ac:dyDescent="0.25">
      <c r="AD2464" s="26"/>
    </row>
    <row r="2465" spans="30:30" ht="20.25" customHeight="1" x14ac:dyDescent="0.25">
      <c r="AD2465" s="26"/>
    </row>
    <row r="2466" spans="30:30" ht="20.25" customHeight="1" x14ac:dyDescent="0.25">
      <c r="AD2466" s="26"/>
    </row>
    <row r="2467" spans="30:30" ht="20.25" customHeight="1" x14ac:dyDescent="0.25">
      <c r="AD2467" s="26"/>
    </row>
    <row r="2468" spans="30:30" ht="20.25" customHeight="1" x14ac:dyDescent="0.25">
      <c r="AD2468" s="26"/>
    </row>
    <row r="2469" spans="30:30" ht="20.25" customHeight="1" x14ac:dyDescent="0.25">
      <c r="AD2469" s="26"/>
    </row>
    <row r="2470" spans="30:30" ht="20.25" customHeight="1" x14ac:dyDescent="0.25">
      <c r="AD2470" s="26"/>
    </row>
    <row r="2471" spans="30:30" ht="20.25" customHeight="1" x14ac:dyDescent="0.25">
      <c r="AD2471" s="26"/>
    </row>
    <row r="2472" spans="30:30" ht="20.25" customHeight="1" x14ac:dyDescent="0.25">
      <c r="AD2472" s="26"/>
    </row>
    <row r="2473" spans="30:30" ht="20.25" customHeight="1" x14ac:dyDescent="0.25">
      <c r="AD2473" s="26"/>
    </row>
    <row r="2474" spans="30:30" ht="20.25" customHeight="1" x14ac:dyDescent="0.25">
      <c r="AD2474" s="26"/>
    </row>
    <row r="2475" spans="30:30" ht="20.25" customHeight="1" x14ac:dyDescent="0.25">
      <c r="AD2475" s="26"/>
    </row>
    <row r="2476" spans="30:30" ht="20.25" customHeight="1" x14ac:dyDescent="0.25">
      <c r="AD2476" s="26"/>
    </row>
    <row r="2477" spans="30:30" ht="20.25" customHeight="1" x14ac:dyDescent="0.25">
      <c r="AD2477" s="26"/>
    </row>
    <row r="2478" spans="30:30" ht="20.25" customHeight="1" x14ac:dyDescent="0.25">
      <c r="AD2478" s="26"/>
    </row>
    <row r="2479" spans="30:30" ht="20.25" customHeight="1" x14ac:dyDescent="0.25">
      <c r="AD2479" s="26"/>
    </row>
    <row r="2480" spans="30:30" ht="20.25" customHeight="1" x14ac:dyDescent="0.25">
      <c r="AD2480" s="26"/>
    </row>
    <row r="2481" spans="30:30" ht="20.25" customHeight="1" x14ac:dyDescent="0.25">
      <c r="AD2481" s="26"/>
    </row>
    <row r="2482" spans="30:30" ht="20.25" customHeight="1" x14ac:dyDescent="0.25">
      <c r="AD2482" s="26"/>
    </row>
    <row r="2483" spans="30:30" ht="20.25" customHeight="1" x14ac:dyDescent="0.25">
      <c r="AD2483" s="26"/>
    </row>
    <row r="2484" spans="30:30" ht="20.25" customHeight="1" x14ac:dyDescent="0.25">
      <c r="AD2484" s="26"/>
    </row>
    <row r="2485" spans="30:30" ht="20.25" customHeight="1" x14ac:dyDescent="0.25">
      <c r="AD2485" s="26"/>
    </row>
    <row r="2486" spans="30:30" ht="20.25" customHeight="1" x14ac:dyDescent="0.25">
      <c r="AD2486" s="26"/>
    </row>
    <row r="2487" spans="30:30" ht="20.25" customHeight="1" x14ac:dyDescent="0.25">
      <c r="AD2487" s="26"/>
    </row>
    <row r="2488" spans="30:30" ht="20.25" customHeight="1" x14ac:dyDescent="0.25">
      <c r="AD2488" s="26"/>
    </row>
    <row r="2489" spans="30:30" ht="20.25" customHeight="1" x14ac:dyDescent="0.25">
      <c r="AD2489" s="26"/>
    </row>
    <row r="2490" spans="30:30" ht="20.25" customHeight="1" x14ac:dyDescent="0.25">
      <c r="AD2490" s="26"/>
    </row>
    <row r="2491" spans="30:30" ht="20.25" customHeight="1" x14ac:dyDescent="0.25">
      <c r="AD2491" s="26"/>
    </row>
    <row r="2492" spans="30:30" ht="20.25" customHeight="1" x14ac:dyDescent="0.25">
      <c r="AD2492" s="26"/>
    </row>
    <row r="2493" spans="30:30" ht="20.25" customHeight="1" x14ac:dyDescent="0.25">
      <c r="AD2493" s="26"/>
    </row>
    <row r="2494" spans="30:30" ht="20.25" customHeight="1" x14ac:dyDescent="0.25">
      <c r="AD2494" s="26"/>
    </row>
    <row r="2495" spans="30:30" ht="20.25" customHeight="1" x14ac:dyDescent="0.25">
      <c r="AD2495" s="26"/>
    </row>
    <row r="2496" spans="30:30" ht="20.25" customHeight="1" x14ac:dyDescent="0.25">
      <c r="AD2496" s="26"/>
    </row>
    <row r="2497" spans="30:30" ht="20.25" customHeight="1" x14ac:dyDescent="0.25">
      <c r="AD2497" s="26"/>
    </row>
    <row r="2498" spans="30:30" ht="20.25" customHeight="1" x14ac:dyDescent="0.25">
      <c r="AD2498" s="26"/>
    </row>
    <row r="2499" spans="30:30" ht="20.25" customHeight="1" x14ac:dyDescent="0.25">
      <c r="AD2499" s="26"/>
    </row>
    <row r="2500" spans="30:30" ht="20.25" customHeight="1" x14ac:dyDescent="0.25">
      <c r="AD2500" s="26"/>
    </row>
    <row r="2501" spans="30:30" ht="20.25" customHeight="1" x14ac:dyDescent="0.25">
      <c r="AD2501" s="26"/>
    </row>
    <row r="2502" spans="30:30" ht="20.25" customHeight="1" x14ac:dyDescent="0.25">
      <c r="AD2502" s="26"/>
    </row>
    <row r="2503" spans="30:30" ht="20.25" customHeight="1" x14ac:dyDescent="0.25">
      <c r="AD2503" s="26"/>
    </row>
    <row r="2504" spans="30:30" ht="20.25" customHeight="1" x14ac:dyDescent="0.25">
      <c r="AD2504" s="26"/>
    </row>
    <row r="2505" spans="30:30" ht="20.25" customHeight="1" x14ac:dyDescent="0.25">
      <c r="AD2505" s="26"/>
    </row>
    <row r="2506" spans="30:30" ht="20.25" customHeight="1" x14ac:dyDescent="0.25">
      <c r="AD2506" s="26"/>
    </row>
    <row r="2507" spans="30:30" ht="20.25" customHeight="1" x14ac:dyDescent="0.25">
      <c r="AD2507" s="26"/>
    </row>
    <row r="2508" spans="30:30" ht="20.25" customHeight="1" x14ac:dyDescent="0.25">
      <c r="AD2508" s="26"/>
    </row>
    <row r="2509" spans="30:30" ht="20.25" customHeight="1" x14ac:dyDescent="0.25">
      <c r="AD2509" s="26"/>
    </row>
    <row r="2510" spans="30:30" ht="20.25" customHeight="1" x14ac:dyDescent="0.25">
      <c r="AD2510" s="26"/>
    </row>
    <row r="2511" spans="30:30" ht="20.25" customHeight="1" x14ac:dyDescent="0.25">
      <c r="AD2511" s="26"/>
    </row>
    <row r="2512" spans="30:30" ht="20.25" customHeight="1" x14ac:dyDescent="0.25">
      <c r="AD2512" s="26"/>
    </row>
    <row r="2513" spans="30:30" ht="20.25" customHeight="1" x14ac:dyDescent="0.25">
      <c r="AD2513" s="26"/>
    </row>
    <row r="2514" spans="30:30" ht="20.25" customHeight="1" x14ac:dyDescent="0.25">
      <c r="AD2514" s="26"/>
    </row>
    <row r="2515" spans="30:30" ht="20.25" customHeight="1" x14ac:dyDescent="0.25">
      <c r="AD2515" s="26"/>
    </row>
    <row r="2516" spans="30:30" ht="20.25" customHeight="1" x14ac:dyDescent="0.25">
      <c r="AD2516" s="26"/>
    </row>
    <row r="2517" spans="30:30" ht="20.25" customHeight="1" x14ac:dyDescent="0.25">
      <c r="AD2517" s="26"/>
    </row>
    <row r="2518" spans="30:30" ht="20.25" customHeight="1" x14ac:dyDescent="0.25">
      <c r="AD2518" s="26"/>
    </row>
    <row r="2519" spans="30:30" ht="20.25" customHeight="1" x14ac:dyDescent="0.25">
      <c r="AD2519" s="26"/>
    </row>
    <row r="2520" spans="30:30" ht="20.25" customHeight="1" x14ac:dyDescent="0.25">
      <c r="AD2520" s="26"/>
    </row>
    <row r="2521" spans="30:30" ht="20.25" customHeight="1" x14ac:dyDescent="0.25">
      <c r="AD2521" s="26"/>
    </row>
    <row r="2522" spans="30:30" ht="20.25" customHeight="1" x14ac:dyDescent="0.25">
      <c r="AD2522" s="26"/>
    </row>
    <row r="2523" spans="30:30" ht="20.25" customHeight="1" x14ac:dyDescent="0.25">
      <c r="AD2523" s="26"/>
    </row>
    <row r="2524" spans="30:30" ht="20.25" customHeight="1" x14ac:dyDescent="0.25">
      <c r="AD2524" s="26"/>
    </row>
    <row r="2525" spans="30:30" ht="20.25" customHeight="1" x14ac:dyDescent="0.25">
      <c r="AD2525" s="26"/>
    </row>
    <row r="2526" spans="30:30" ht="20.25" customHeight="1" x14ac:dyDescent="0.25">
      <c r="AD2526" s="26"/>
    </row>
    <row r="2527" spans="30:30" ht="20.25" customHeight="1" x14ac:dyDescent="0.25">
      <c r="AD2527" s="26"/>
    </row>
    <row r="2528" spans="30:30" ht="20.25" customHeight="1" x14ac:dyDescent="0.25">
      <c r="AD2528" s="26"/>
    </row>
    <row r="2529" spans="30:30" ht="20.25" customHeight="1" x14ac:dyDescent="0.25">
      <c r="AD2529" s="26"/>
    </row>
    <row r="2530" spans="30:30" ht="20.25" customHeight="1" x14ac:dyDescent="0.25">
      <c r="AD2530" s="26"/>
    </row>
    <row r="2531" spans="30:30" ht="20.25" customHeight="1" x14ac:dyDescent="0.25">
      <c r="AD2531" s="26"/>
    </row>
    <row r="2532" spans="30:30" ht="20.25" customHeight="1" x14ac:dyDescent="0.25">
      <c r="AD2532" s="26"/>
    </row>
    <row r="2533" spans="30:30" ht="20.25" customHeight="1" x14ac:dyDescent="0.25">
      <c r="AD2533" s="26"/>
    </row>
    <row r="2534" spans="30:30" ht="20.25" customHeight="1" x14ac:dyDescent="0.25">
      <c r="AD2534" s="26"/>
    </row>
    <row r="2535" spans="30:30" ht="20.25" customHeight="1" x14ac:dyDescent="0.25">
      <c r="AD2535" s="26"/>
    </row>
    <row r="2536" spans="30:30" ht="20.25" customHeight="1" x14ac:dyDescent="0.25">
      <c r="AD2536" s="26"/>
    </row>
    <row r="2537" spans="30:30" ht="20.25" customHeight="1" x14ac:dyDescent="0.25">
      <c r="AD2537" s="26"/>
    </row>
    <row r="2538" spans="30:30" ht="20.25" customHeight="1" x14ac:dyDescent="0.25">
      <c r="AD2538" s="26"/>
    </row>
    <row r="2539" spans="30:30" ht="20.25" customHeight="1" x14ac:dyDescent="0.25">
      <c r="AD2539" s="26"/>
    </row>
    <row r="2540" spans="30:30" ht="20.25" customHeight="1" x14ac:dyDescent="0.25">
      <c r="AD2540" s="26"/>
    </row>
    <row r="2541" spans="30:30" ht="20.25" customHeight="1" x14ac:dyDescent="0.25">
      <c r="AD2541" s="26"/>
    </row>
    <row r="2542" spans="30:30" ht="20.25" customHeight="1" x14ac:dyDescent="0.25">
      <c r="AD2542" s="26"/>
    </row>
    <row r="2543" spans="30:30" ht="20.25" customHeight="1" x14ac:dyDescent="0.25">
      <c r="AD2543" s="26"/>
    </row>
    <row r="2544" spans="30:30" ht="20.25" customHeight="1" x14ac:dyDescent="0.25">
      <c r="AD2544" s="26"/>
    </row>
    <row r="2545" spans="30:30" ht="20.25" customHeight="1" x14ac:dyDescent="0.25">
      <c r="AD2545" s="26"/>
    </row>
    <row r="2546" spans="30:30" ht="20.25" customHeight="1" x14ac:dyDescent="0.25">
      <c r="AD2546" s="26"/>
    </row>
    <row r="2547" spans="30:30" ht="20.25" customHeight="1" x14ac:dyDescent="0.25">
      <c r="AD2547" s="26"/>
    </row>
    <row r="2548" spans="30:30" ht="20.25" customHeight="1" x14ac:dyDescent="0.25">
      <c r="AD2548" s="26"/>
    </row>
    <row r="2549" spans="30:30" ht="20.25" customHeight="1" x14ac:dyDescent="0.25">
      <c r="AD2549" s="26"/>
    </row>
    <row r="2550" spans="30:30" ht="20.25" customHeight="1" x14ac:dyDescent="0.25">
      <c r="AD2550" s="26"/>
    </row>
    <row r="2551" spans="30:30" ht="20.25" customHeight="1" x14ac:dyDescent="0.25">
      <c r="AD2551" s="26"/>
    </row>
    <row r="2552" spans="30:30" ht="20.25" customHeight="1" x14ac:dyDescent="0.25">
      <c r="AD2552" s="26"/>
    </row>
    <row r="2553" spans="30:30" ht="20.25" customHeight="1" x14ac:dyDescent="0.25">
      <c r="AD2553" s="26"/>
    </row>
    <row r="2554" spans="30:30" ht="20.25" customHeight="1" x14ac:dyDescent="0.25">
      <c r="AD2554" s="26"/>
    </row>
    <row r="2555" spans="30:30" ht="20.25" customHeight="1" x14ac:dyDescent="0.25">
      <c r="AD2555" s="26"/>
    </row>
    <row r="2556" spans="30:30" ht="20.25" customHeight="1" x14ac:dyDescent="0.25">
      <c r="AD2556" s="26"/>
    </row>
    <row r="2557" spans="30:30" ht="20.25" customHeight="1" x14ac:dyDescent="0.25">
      <c r="AD2557" s="26"/>
    </row>
    <row r="2558" spans="30:30" ht="20.25" customHeight="1" x14ac:dyDescent="0.25">
      <c r="AD2558" s="26"/>
    </row>
    <row r="2559" spans="30:30" ht="20.25" customHeight="1" x14ac:dyDescent="0.25">
      <c r="AD2559" s="26"/>
    </row>
    <row r="2560" spans="30:30" ht="20.25" customHeight="1" x14ac:dyDescent="0.25">
      <c r="AD2560" s="26"/>
    </row>
    <row r="2561" spans="30:30" ht="20.25" customHeight="1" x14ac:dyDescent="0.25">
      <c r="AD2561" s="26"/>
    </row>
    <row r="2562" spans="30:30" ht="20.25" customHeight="1" x14ac:dyDescent="0.25">
      <c r="AD2562" s="26"/>
    </row>
    <row r="2563" spans="30:30" ht="20.25" customHeight="1" x14ac:dyDescent="0.25">
      <c r="AD2563" s="26"/>
    </row>
    <row r="2564" spans="30:30" ht="20.25" customHeight="1" x14ac:dyDescent="0.25">
      <c r="AD2564" s="26"/>
    </row>
    <row r="2565" spans="30:30" ht="20.25" customHeight="1" x14ac:dyDescent="0.25">
      <c r="AD2565" s="26"/>
    </row>
    <row r="2566" spans="30:30" ht="20.25" customHeight="1" x14ac:dyDescent="0.25">
      <c r="AD2566" s="26"/>
    </row>
    <row r="2567" spans="30:30" ht="20.25" customHeight="1" x14ac:dyDescent="0.25">
      <c r="AD2567" s="26"/>
    </row>
    <row r="2568" spans="30:30" ht="20.25" customHeight="1" x14ac:dyDescent="0.25">
      <c r="AD2568" s="26"/>
    </row>
    <row r="2569" spans="30:30" ht="20.25" customHeight="1" x14ac:dyDescent="0.25">
      <c r="AD2569" s="26"/>
    </row>
    <row r="2570" spans="30:30" ht="20.25" customHeight="1" x14ac:dyDescent="0.25">
      <c r="AD2570" s="26"/>
    </row>
    <row r="2571" spans="30:30" ht="20.25" customHeight="1" x14ac:dyDescent="0.25">
      <c r="AD2571" s="26"/>
    </row>
    <row r="2572" spans="30:30" ht="20.25" customHeight="1" x14ac:dyDescent="0.25">
      <c r="AD2572" s="26"/>
    </row>
    <row r="2573" spans="30:30" ht="20.25" customHeight="1" x14ac:dyDescent="0.25">
      <c r="AD2573" s="26"/>
    </row>
    <row r="2574" spans="30:30" ht="20.25" customHeight="1" x14ac:dyDescent="0.25">
      <c r="AD2574" s="26"/>
    </row>
    <row r="2575" spans="30:30" ht="20.25" customHeight="1" x14ac:dyDescent="0.25">
      <c r="AD2575" s="26"/>
    </row>
    <row r="2576" spans="30:30" ht="20.25" customHeight="1" x14ac:dyDescent="0.25">
      <c r="AD2576" s="26"/>
    </row>
    <row r="2577" spans="30:30" ht="20.25" customHeight="1" x14ac:dyDescent="0.25">
      <c r="AD2577" s="26"/>
    </row>
    <row r="2578" spans="30:30" ht="20.25" customHeight="1" x14ac:dyDescent="0.25">
      <c r="AD2578" s="26"/>
    </row>
    <row r="2579" spans="30:30" ht="20.25" customHeight="1" x14ac:dyDescent="0.25">
      <c r="AD2579" s="26"/>
    </row>
    <row r="2580" spans="30:30" ht="20.25" customHeight="1" x14ac:dyDescent="0.25">
      <c r="AD2580" s="26"/>
    </row>
    <row r="2581" spans="30:30" ht="20.25" customHeight="1" x14ac:dyDescent="0.25">
      <c r="AD2581" s="26"/>
    </row>
    <row r="2582" spans="30:30" ht="20.25" customHeight="1" x14ac:dyDescent="0.25">
      <c r="AD2582" s="26"/>
    </row>
    <row r="2583" spans="30:30" ht="20.25" customHeight="1" x14ac:dyDescent="0.25">
      <c r="AD2583" s="26"/>
    </row>
    <row r="2584" spans="30:30" ht="20.25" customHeight="1" x14ac:dyDescent="0.25">
      <c r="AD2584" s="26"/>
    </row>
    <row r="2585" spans="30:30" ht="20.25" customHeight="1" x14ac:dyDescent="0.25">
      <c r="AD2585" s="26"/>
    </row>
    <row r="2586" spans="30:30" ht="20.25" customHeight="1" x14ac:dyDescent="0.25">
      <c r="AD2586" s="26"/>
    </row>
    <row r="2587" spans="30:30" ht="20.25" customHeight="1" x14ac:dyDescent="0.25">
      <c r="AD2587" s="26"/>
    </row>
    <row r="2588" spans="30:30" ht="20.25" customHeight="1" x14ac:dyDescent="0.25">
      <c r="AD2588" s="26"/>
    </row>
    <row r="2589" spans="30:30" ht="20.25" customHeight="1" x14ac:dyDescent="0.25">
      <c r="AD2589" s="26"/>
    </row>
    <row r="2590" spans="30:30" ht="20.25" customHeight="1" x14ac:dyDescent="0.25">
      <c r="AD2590" s="26"/>
    </row>
    <row r="2591" spans="30:30" ht="20.25" customHeight="1" x14ac:dyDescent="0.25">
      <c r="AD2591" s="26"/>
    </row>
    <row r="2592" spans="30:30" ht="20.25" customHeight="1" x14ac:dyDescent="0.25">
      <c r="AD2592" s="26"/>
    </row>
    <row r="2593" spans="30:30" ht="20.25" customHeight="1" x14ac:dyDescent="0.25">
      <c r="AD2593" s="26"/>
    </row>
    <row r="2594" spans="30:30" ht="20.25" customHeight="1" x14ac:dyDescent="0.25">
      <c r="AD2594" s="26"/>
    </row>
    <row r="2595" spans="30:30" ht="20.25" customHeight="1" x14ac:dyDescent="0.25">
      <c r="AD2595" s="26"/>
    </row>
    <row r="2596" spans="30:30" ht="20.25" customHeight="1" x14ac:dyDescent="0.25">
      <c r="AD2596" s="26"/>
    </row>
    <row r="2597" spans="30:30" ht="20.25" customHeight="1" x14ac:dyDescent="0.25">
      <c r="AD2597" s="26"/>
    </row>
    <row r="2598" spans="30:30" ht="20.25" customHeight="1" x14ac:dyDescent="0.25">
      <c r="AD2598" s="26"/>
    </row>
    <row r="2599" spans="30:30" ht="20.25" customHeight="1" x14ac:dyDescent="0.25">
      <c r="AD2599" s="26"/>
    </row>
    <row r="2600" spans="30:30" ht="20.25" customHeight="1" x14ac:dyDescent="0.25">
      <c r="AD2600" s="26"/>
    </row>
    <row r="2601" spans="30:30" ht="20.25" customHeight="1" x14ac:dyDescent="0.25">
      <c r="AD2601" s="26"/>
    </row>
    <row r="2602" spans="30:30" ht="20.25" customHeight="1" x14ac:dyDescent="0.25">
      <c r="AD2602" s="26"/>
    </row>
    <row r="2603" spans="30:30" ht="20.25" customHeight="1" x14ac:dyDescent="0.25">
      <c r="AD2603" s="26"/>
    </row>
    <row r="2604" spans="30:30" ht="20.25" customHeight="1" x14ac:dyDescent="0.25">
      <c r="AD2604" s="26"/>
    </row>
    <row r="2605" spans="30:30" ht="20.25" customHeight="1" x14ac:dyDescent="0.25">
      <c r="AD2605" s="26"/>
    </row>
    <row r="2606" spans="30:30" ht="20.25" customHeight="1" x14ac:dyDescent="0.25">
      <c r="AD2606" s="26"/>
    </row>
    <row r="2607" spans="30:30" ht="20.25" customHeight="1" x14ac:dyDescent="0.25">
      <c r="AD2607" s="26"/>
    </row>
    <row r="2608" spans="30:30" ht="20.25" customHeight="1" x14ac:dyDescent="0.25">
      <c r="AD2608" s="26"/>
    </row>
    <row r="2609" spans="30:30" ht="20.25" customHeight="1" x14ac:dyDescent="0.25">
      <c r="AD2609" s="26"/>
    </row>
    <row r="2610" spans="30:30" ht="20.25" customHeight="1" x14ac:dyDescent="0.25">
      <c r="AD2610" s="26"/>
    </row>
    <row r="2611" spans="30:30" ht="20.25" customHeight="1" x14ac:dyDescent="0.25">
      <c r="AD2611" s="26"/>
    </row>
    <row r="2612" spans="30:30" ht="20.25" customHeight="1" x14ac:dyDescent="0.25">
      <c r="AD2612" s="26"/>
    </row>
    <row r="2613" spans="30:30" ht="20.25" customHeight="1" x14ac:dyDescent="0.25">
      <c r="AD2613" s="26"/>
    </row>
    <row r="2614" spans="30:30" ht="20.25" customHeight="1" x14ac:dyDescent="0.25">
      <c r="AD2614" s="26"/>
    </row>
    <row r="2615" spans="30:30" ht="20.25" customHeight="1" x14ac:dyDescent="0.25">
      <c r="AD2615" s="26"/>
    </row>
    <row r="2616" spans="30:30" ht="20.25" customHeight="1" x14ac:dyDescent="0.25">
      <c r="AD2616" s="26"/>
    </row>
    <row r="2617" spans="30:30" ht="20.25" customHeight="1" x14ac:dyDescent="0.25">
      <c r="AD2617" s="26"/>
    </row>
    <row r="2618" spans="30:30" ht="20.25" customHeight="1" x14ac:dyDescent="0.25">
      <c r="AD2618" s="26"/>
    </row>
    <row r="2619" spans="30:30" ht="20.25" customHeight="1" x14ac:dyDescent="0.25">
      <c r="AD2619" s="26"/>
    </row>
    <row r="2620" spans="30:30" ht="20.25" customHeight="1" x14ac:dyDescent="0.25">
      <c r="AD2620" s="26"/>
    </row>
    <row r="2621" spans="30:30" ht="20.25" customHeight="1" x14ac:dyDescent="0.25">
      <c r="AD2621" s="26"/>
    </row>
    <row r="2622" spans="30:30" ht="20.25" customHeight="1" x14ac:dyDescent="0.25">
      <c r="AD2622" s="26"/>
    </row>
    <row r="2623" spans="30:30" ht="20.25" customHeight="1" x14ac:dyDescent="0.25">
      <c r="AD2623" s="26"/>
    </row>
    <row r="2624" spans="30:30" ht="20.25" customHeight="1" x14ac:dyDescent="0.25">
      <c r="AD2624" s="26"/>
    </row>
    <row r="2625" spans="30:30" ht="20.25" customHeight="1" x14ac:dyDescent="0.25">
      <c r="AD2625" s="26"/>
    </row>
    <row r="2626" spans="30:30" ht="20.25" customHeight="1" x14ac:dyDescent="0.25">
      <c r="AD2626" s="26"/>
    </row>
    <row r="2627" spans="30:30" ht="20.25" customHeight="1" x14ac:dyDescent="0.25">
      <c r="AD2627" s="26"/>
    </row>
    <row r="2628" spans="30:30" ht="20.25" customHeight="1" x14ac:dyDescent="0.25">
      <c r="AD2628" s="26"/>
    </row>
    <row r="2629" spans="30:30" ht="20.25" customHeight="1" x14ac:dyDescent="0.25">
      <c r="AD2629" s="26"/>
    </row>
    <row r="2630" spans="30:30" ht="20.25" customHeight="1" x14ac:dyDescent="0.25">
      <c r="AD2630" s="26"/>
    </row>
    <row r="2631" spans="30:30" ht="20.25" customHeight="1" x14ac:dyDescent="0.25">
      <c r="AD2631" s="26"/>
    </row>
    <row r="2632" spans="30:30" ht="20.25" customHeight="1" x14ac:dyDescent="0.25">
      <c r="AD2632" s="26"/>
    </row>
    <row r="2633" spans="30:30" ht="20.25" customHeight="1" x14ac:dyDescent="0.25">
      <c r="AD2633" s="26"/>
    </row>
    <row r="2634" spans="30:30" ht="20.25" customHeight="1" x14ac:dyDescent="0.25">
      <c r="AD2634" s="26"/>
    </row>
    <row r="2635" spans="30:30" ht="20.25" customHeight="1" x14ac:dyDescent="0.25">
      <c r="AD2635" s="26"/>
    </row>
    <row r="2636" spans="30:30" ht="20.25" customHeight="1" x14ac:dyDescent="0.25">
      <c r="AD2636" s="26"/>
    </row>
    <row r="2637" spans="30:30" ht="20.25" customHeight="1" x14ac:dyDescent="0.25">
      <c r="AD2637" s="26"/>
    </row>
    <row r="2638" spans="30:30" ht="20.25" customHeight="1" x14ac:dyDescent="0.25">
      <c r="AD2638" s="26"/>
    </row>
    <row r="2639" spans="30:30" ht="20.25" customHeight="1" x14ac:dyDescent="0.25">
      <c r="AD2639" s="26"/>
    </row>
    <row r="2640" spans="30:30" ht="20.25" customHeight="1" x14ac:dyDescent="0.25">
      <c r="AD2640" s="26"/>
    </row>
    <row r="2641" spans="30:30" ht="20.25" customHeight="1" x14ac:dyDescent="0.25">
      <c r="AD2641" s="26"/>
    </row>
    <row r="2642" spans="30:30" ht="20.25" customHeight="1" x14ac:dyDescent="0.25">
      <c r="AD2642" s="26"/>
    </row>
    <row r="2643" spans="30:30" ht="20.25" customHeight="1" x14ac:dyDescent="0.25">
      <c r="AD2643" s="26"/>
    </row>
    <row r="2644" spans="30:30" ht="20.25" customHeight="1" x14ac:dyDescent="0.25">
      <c r="AD2644" s="26"/>
    </row>
    <row r="2645" spans="30:30" ht="20.25" customHeight="1" x14ac:dyDescent="0.25">
      <c r="AD2645" s="26"/>
    </row>
    <row r="2646" spans="30:30" ht="20.25" customHeight="1" x14ac:dyDescent="0.25">
      <c r="AD2646" s="26"/>
    </row>
    <row r="2647" spans="30:30" ht="20.25" customHeight="1" x14ac:dyDescent="0.25">
      <c r="AD2647" s="26"/>
    </row>
    <row r="2648" spans="30:30" ht="20.25" customHeight="1" x14ac:dyDescent="0.25">
      <c r="AD2648" s="26"/>
    </row>
    <row r="2649" spans="30:30" ht="20.25" customHeight="1" x14ac:dyDescent="0.25">
      <c r="AD2649" s="26"/>
    </row>
    <row r="2650" spans="30:30" ht="20.25" customHeight="1" x14ac:dyDescent="0.25">
      <c r="AD2650" s="26"/>
    </row>
    <row r="2651" spans="30:30" ht="20.25" customHeight="1" x14ac:dyDescent="0.25">
      <c r="AD2651" s="26"/>
    </row>
    <row r="2652" spans="30:30" ht="20.25" customHeight="1" x14ac:dyDescent="0.25">
      <c r="AD2652" s="26"/>
    </row>
    <row r="2653" spans="30:30" ht="20.25" customHeight="1" x14ac:dyDescent="0.25">
      <c r="AD2653" s="26"/>
    </row>
    <row r="2654" spans="30:30" ht="20.25" customHeight="1" x14ac:dyDescent="0.25">
      <c r="AD2654" s="26"/>
    </row>
    <row r="2655" spans="30:30" ht="20.25" customHeight="1" x14ac:dyDescent="0.25">
      <c r="AD2655" s="26"/>
    </row>
    <row r="2656" spans="30:30" ht="20.25" customHeight="1" x14ac:dyDescent="0.25">
      <c r="AD2656" s="26"/>
    </row>
    <row r="2657" spans="30:30" ht="20.25" customHeight="1" x14ac:dyDescent="0.25">
      <c r="AD2657" s="26"/>
    </row>
    <row r="2658" spans="30:30" ht="20.25" customHeight="1" x14ac:dyDescent="0.25">
      <c r="AD2658" s="26"/>
    </row>
    <row r="2659" spans="30:30" ht="20.25" customHeight="1" x14ac:dyDescent="0.25">
      <c r="AD2659" s="26"/>
    </row>
    <row r="2660" spans="30:30" ht="20.25" customHeight="1" x14ac:dyDescent="0.25">
      <c r="AD2660" s="26"/>
    </row>
    <row r="2661" spans="30:30" ht="20.25" customHeight="1" x14ac:dyDescent="0.25">
      <c r="AD2661" s="26"/>
    </row>
    <row r="2662" spans="30:30" ht="20.25" customHeight="1" x14ac:dyDescent="0.25">
      <c r="AD2662" s="26"/>
    </row>
    <row r="2663" spans="30:30" ht="20.25" customHeight="1" x14ac:dyDescent="0.25">
      <c r="AD2663" s="26"/>
    </row>
    <row r="2664" spans="30:30" ht="20.25" customHeight="1" x14ac:dyDescent="0.25">
      <c r="AD2664" s="26"/>
    </row>
    <row r="2665" spans="30:30" ht="20.25" customHeight="1" x14ac:dyDescent="0.25">
      <c r="AD2665" s="26"/>
    </row>
    <row r="2666" spans="30:30" ht="20.25" customHeight="1" x14ac:dyDescent="0.25">
      <c r="AD2666" s="26"/>
    </row>
    <row r="2667" spans="30:30" ht="20.25" customHeight="1" x14ac:dyDescent="0.25">
      <c r="AD2667" s="26"/>
    </row>
    <row r="2668" spans="30:30" ht="20.25" customHeight="1" x14ac:dyDescent="0.25">
      <c r="AD2668" s="26"/>
    </row>
    <row r="2669" spans="30:30" ht="20.25" customHeight="1" x14ac:dyDescent="0.25">
      <c r="AD2669" s="26"/>
    </row>
    <row r="2670" spans="30:30" ht="20.25" customHeight="1" x14ac:dyDescent="0.25">
      <c r="AD2670" s="26"/>
    </row>
    <row r="2671" spans="30:30" ht="20.25" customHeight="1" x14ac:dyDescent="0.25">
      <c r="AD2671" s="26"/>
    </row>
    <row r="2672" spans="30:30" ht="20.25" customHeight="1" x14ac:dyDescent="0.25">
      <c r="AD2672" s="26"/>
    </row>
    <row r="2673" spans="30:30" ht="20.25" customHeight="1" x14ac:dyDescent="0.25">
      <c r="AD2673" s="26"/>
    </row>
    <row r="2674" spans="30:30" ht="20.25" customHeight="1" x14ac:dyDescent="0.25">
      <c r="AD2674" s="26"/>
    </row>
    <row r="2675" spans="30:30" ht="20.25" customHeight="1" x14ac:dyDescent="0.25">
      <c r="AD2675" s="26"/>
    </row>
    <row r="2676" spans="30:30" ht="20.25" customHeight="1" x14ac:dyDescent="0.25">
      <c r="AD2676" s="26"/>
    </row>
    <row r="2677" spans="30:30" ht="20.25" customHeight="1" x14ac:dyDescent="0.25">
      <c r="AD2677" s="26"/>
    </row>
    <row r="2678" spans="30:30" ht="20.25" customHeight="1" x14ac:dyDescent="0.25">
      <c r="AD2678" s="26"/>
    </row>
    <row r="2679" spans="30:30" ht="20.25" customHeight="1" x14ac:dyDescent="0.25">
      <c r="AD2679" s="26"/>
    </row>
    <row r="2680" spans="30:30" ht="20.25" customHeight="1" x14ac:dyDescent="0.25">
      <c r="AD2680" s="26"/>
    </row>
    <row r="2681" spans="30:30" ht="20.25" customHeight="1" x14ac:dyDescent="0.25">
      <c r="AD2681" s="26"/>
    </row>
    <row r="2682" spans="30:30" ht="20.25" customHeight="1" x14ac:dyDescent="0.25">
      <c r="AD2682" s="26"/>
    </row>
    <row r="2683" spans="30:30" ht="20.25" customHeight="1" x14ac:dyDescent="0.25">
      <c r="AD2683" s="26"/>
    </row>
    <row r="2684" spans="30:30" ht="20.25" customHeight="1" x14ac:dyDescent="0.25">
      <c r="AD2684" s="26"/>
    </row>
    <row r="2685" spans="30:30" ht="20.25" customHeight="1" x14ac:dyDescent="0.25">
      <c r="AD2685" s="26"/>
    </row>
    <row r="2686" spans="30:30" ht="20.25" customHeight="1" x14ac:dyDescent="0.25">
      <c r="AD2686" s="26"/>
    </row>
    <row r="2687" spans="30:30" ht="20.25" customHeight="1" x14ac:dyDescent="0.25">
      <c r="AD2687" s="26"/>
    </row>
    <row r="2688" spans="30:30" ht="20.25" customHeight="1" x14ac:dyDescent="0.25">
      <c r="AD2688" s="26"/>
    </row>
    <row r="2689" spans="30:30" ht="20.25" customHeight="1" x14ac:dyDescent="0.25">
      <c r="AD2689" s="26"/>
    </row>
    <row r="2690" spans="30:30" ht="20.25" customHeight="1" x14ac:dyDescent="0.25">
      <c r="AD2690" s="26"/>
    </row>
    <row r="2691" spans="30:30" ht="20.25" customHeight="1" x14ac:dyDescent="0.25">
      <c r="AD2691" s="26"/>
    </row>
    <row r="2692" spans="30:30" ht="20.25" customHeight="1" x14ac:dyDescent="0.25">
      <c r="AD2692" s="26"/>
    </row>
    <row r="2693" spans="30:30" ht="20.25" customHeight="1" x14ac:dyDescent="0.25">
      <c r="AD2693" s="26"/>
    </row>
    <row r="2694" spans="30:30" ht="20.25" customHeight="1" x14ac:dyDescent="0.25">
      <c r="AD2694" s="26"/>
    </row>
    <row r="2695" spans="30:30" ht="20.25" customHeight="1" x14ac:dyDescent="0.25">
      <c r="AD2695" s="26"/>
    </row>
    <row r="2696" spans="30:30" ht="20.25" customHeight="1" x14ac:dyDescent="0.25">
      <c r="AD2696" s="26"/>
    </row>
    <row r="2697" spans="30:30" ht="20.25" customHeight="1" x14ac:dyDescent="0.25">
      <c r="AD2697" s="26"/>
    </row>
    <row r="2698" spans="30:30" ht="20.25" customHeight="1" x14ac:dyDescent="0.25">
      <c r="AD2698" s="26"/>
    </row>
    <row r="2699" spans="30:30" ht="20.25" customHeight="1" x14ac:dyDescent="0.25">
      <c r="AD2699" s="26"/>
    </row>
    <row r="2700" spans="30:30" ht="20.25" customHeight="1" x14ac:dyDescent="0.25">
      <c r="AD2700" s="26"/>
    </row>
    <row r="2701" spans="30:30" ht="20.25" customHeight="1" x14ac:dyDescent="0.25">
      <c r="AD2701" s="26"/>
    </row>
    <row r="2702" spans="30:30" ht="20.25" customHeight="1" x14ac:dyDescent="0.25">
      <c r="AD2702" s="26"/>
    </row>
    <row r="2703" spans="30:30" ht="20.25" customHeight="1" x14ac:dyDescent="0.25">
      <c r="AD2703" s="26"/>
    </row>
    <row r="2704" spans="30:30" ht="20.25" customHeight="1" x14ac:dyDescent="0.25">
      <c r="AD2704" s="26"/>
    </row>
    <row r="2705" spans="30:30" ht="20.25" customHeight="1" x14ac:dyDescent="0.25">
      <c r="AD2705" s="26"/>
    </row>
    <row r="2706" spans="30:30" ht="20.25" customHeight="1" x14ac:dyDescent="0.25">
      <c r="AD2706" s="26"/>
    </row>
    <row r="2707" spans="30:30" ht="20.25" customHeight="1" x14ac:dyDescent="0.25">
      <c r="AD2707" s="26"/>
    </row>
    <row r="2708" spans="30:30" ht="20.25" customHeight="1" x14ac:dyDescent="0.25">
      <c r="AD2708" s="26"/>
    </row>
    <row r="2709" spans="30:30" ht="20.25" customHeight="1" x14ac:dyDescent="0.25">
      <c r="AD2709" s="26"/>
    </row>
    <row r="2710" spans="30:30" ht="20.25" customHeight="1" x14ac:dyDescent="0.25">
      <c r="AD2710" s="26"/>
    </row>
    <row r="2711" spans="30:30" ht="20.25" customHeight="1" x14ac:dyDescent="0.25">
      <c r="AD2711" s="26"/>
    </row>
    <row r="2712" spans="30:30" ht="20.25" customHeight="1" x14ac:dyDescent="0.25">
      <c r="AD2712" s="26"/>
    </row>
    <row r="2713" spans="30:30" ht="20.25" customHeight="1" x14ac:dyDescent="0.25">
      <c r="AD2713" s="26"/>
    </row>
    <row r="2714" spans="30:30" ht="20.25" customHeight="1" x14ac:dyDescent="0.25">
      <c r="AD2714" s="26"/>
    </row>
    <row r="2715" spans="30:30" ht="20.25" customHeight="1" x14ac:dyDescent="0.25">
      <c r="AD2715" s="26"/>
    </row>
    <row r="2716" spans="30:30" ht="20.25" customHeight="1" x14ac:dyDescent="0.25">
      <c r="AD2716" s="26"/>
    </row>
    <row r="2717" spans="30:30" ht="20.25" customHeight="1" x14ac:dyDescent="0.25">
      <c r="AD2717" s="26"/>
    </row>
    <row r="2718" spans="30:30" ht="20.25" customHeight="1" x14ac:dyDescent="0.25">
      <c r="AD2718" s="26"/>
    </row>
    <row r="2719" spans="30:30" ht="20.25" customHeight="1" x14ac:dyDescent="0.25">
      <c r="AD2719" s="26"/>
    </row>
    <row r="2720" spans="30:30" ht="20.25" customHeight="1" x14ac:dyDescent="0.25">
      <c r="AD2720" s="26"/>
    </row>
    <row r="2721" spans="30:30" ht="20.25" customHeight="1" x14ac:dyDescent="0.25">
      <c r="AD2721" s="26"/>
    </row>
    <row r="2722" spans="30:30" ht="20.25" customHeight="1" x14ac:dyDescent="0.25">
      <c r="AD2722" s="26"/>
    </row>
    <row r="2723" spans="30:30" ht="20.25" customHeight="1" x14ac:dyDescent="0.25">
      <c r="AD2723" s="26"/>
    </row>
    <row r="2724" spans="30:30" ht="20.25" customHeight="1" x14ac:dyDescent="0.25">
      <c r="AD2724" s="26"/>
    </row>
    <row r="2725" spans="30:30" ht="20.25" customHeight="1" x14ac:dyDescent="0.25">
      <c r="AD2725" s="26"/>
    </row>
    <row r="2726" spans="30:30" ht="20.25" customHeight="1" x14ac:dyDescent="0.25">
      <c r="AD2726" s="26"/>
    </row>
    <row r="2727" spans="30:30" ht="20.25" customHeight="1" x14ac:dyDescent="0.25">
      <c r="AD2727" s="26"/>
    </row>
    <row r="2728" spans="30:30" ht="20.25" customHeight="1" x14ac:dyDescent="0.25">
      <c r="AD2728" s="26"/>
    </row>
    <row r="2729" spans="30:30" ht="20.25" customHeight="1" x14ac:dyDescent="0.25">
      <c r="AD2729" s="26"/>
    </row>
    <row r="2730" spans="30:30" ht="20.25" customHeight="1" x14ac:dyDescent="0.25">
      <c r="AD2730" s="26"/>
    </row>
    <row r="2731" spans="30:30" ht="20.25" customHeight="1" x14ac:dyDescent="0.25">
      <c r="AD2731" s="26"/>
    </row>
    <row r="2732" spans="30:30" ht="20.25" customHeight="1" x14ac:dyDescent="0.25">
      <c r="AD2732" s="26"/>
    </row>
    <row r="2733" spans="30:30" ht="20.25" customHeight="1" x14ac:dyDescent="0.25">
      <c r="AD2733" s="26"/>
    </row>
    <row r="2734" spans="30:30" ht="20.25" customHeight="1" x14ac:dyDescent="0.25">
      <c r="AD2734" s="26"/>
    </row>
    <row r="2735" spans="30:30" ht="20.25" customHeight="1" x14ac:dyDescent="0.25">
      <c r="AD2735" s="26"/>
    </row>
    <row r="2736" spans="30:30" ht="20.25" customHeight="1" x14ac:dyDescent="0.25">
      <c r="AD2736" s="26"/>
    </row>
    <row r="2737" spans="30:30" ht="20.25" customHeight="1" x14ac:dyDescent="0.25">
      <c r="AD2737" s="26"/>
    </row>
    <row r="2738" spans="30:30" ht="20.25" customHeight="1" x14ac:dyDescent="0.25">
      <c r="AD2738" s="26"/>
    </row>
    <row r="2739" spans="30:30" ht="20.25" customHeight="1" x14ac:dyDescent="0.25">
      <c r="AD2739" s="26"/>
    </row>
    <row r="2740" spans="30:30" ht="20.25" customHeight="1" x14ac:dyDescent="0.25">
      <c r="AD2740" s="26"/>
    </row>
    <row r="2741" spans="30:30" ht="20.25" customHeight="1" x14ac:dyDescent="0.25">
      <c r="AD2741" s="26"/>
    </row>
    <row r="2742" spans="30:30" ht="20.25" customHeight="1" x14ac:dyDescent="0.25">
      <c r="AD2742" s="26"/>
    </row>
    <row r="2743" spans="30:30" ht="20.25" customHeight="1" x14ac:dyDescent="0.25">
      <c r="AD2743" s="26"/>
    </row>
    <row r="2744" spans="30:30" ht="20.25" customHeight="1" x14ac:dyDescent="0.25">
      <c r="AD2744" s="26"/>
    </row>
    <row r="2745" spans="30:30" ht="20.25" customHeight="1" x14ac:dyDescent="0.25">
      <c r="AD2745" s="26"/>
    </row>
    <row r="2746" spans="30:30" ht="20.25" customHeight="1" x14ac:dyDescent="0.25">
      <c r="AD2746" s="26"/>
    </row>
    <row r="2747" spans="30:30" ht="20.25" customHeight="1" x14ac:dyDescent="0.25">
      <c r="AD2747" s="26"/>
    </row>
    <row r="2748" spans="30:30" ht="20.25" customHeight="1" x14ac:dyDescent="0.25">
      <c r="AD2748" s="26"/>
    </row>
    <row r="2749" spans="30:30" ht="20.25" customHeight="1" x14ac:dyDescent="0.25">
      <c r="AD2749" s="26"/>
    </row>
    <row r="2750" spans="30:30" ht="20.25" customHeight="1" x14ac:dyDescent="0.25">
      <c r="AD2750" s="26"/>
    </row>
    <row r="2751" spans="30:30" ht="20.25" customHeight="1" x14ac:dyDescent="0.25">
      <c r="AD2751" s="26"/>
    </row>
    <row r="2752" spans="30:30" ht="20.25" customHeight="1" x14ac:dyDescent="0.25">
      <c r="AD2752" s="26"/>
    </row>
    <row r="2753" spans="30:30" ht="20.25" customHeight="1" x14ac:dyDescent="0.25">
      <c r="AD2753" s="26"/>
    </row>
    <row r="2754" spans="30:30" ht="20.25" customHeight="1" x14ac:dyDescent="0.25">
      <c r="AD2754" s="26"/>
    </row>
    <row r="2755" spans="30:30" ht="20.25" customHeight="1" x14ac:dyDescent="0.25">
      <c r="AD2755" s="26"/>
    </row>
    <row r="2756" spans="30:30" ht="20.25" customHeight="1" x14ac:dyDescent="0.25">
      <c r="AD2756" s="26"/>
    </row>
    <row r="2757" spans="30:30" ht="20.25" customHeight="1" x14ac:dyDescent="0.25">
      <c r="AD2757" s="26"/>
    </row>
    <row r="2758" spans="30:30" ht="20.25" customHeight="1" x14ac:dyDescent="0.25">
      <c r="AD2758" s="26"/>
    </row>
    <row r="2759" spans="30:30" ht="20.25" customHeight="1" x14ac:dyDescent="0.25">
      <c r="AD2759" s="26"/>
    </row>
    <row r="2760" spans="30:30" ht="20.25" customHeight="1" x14ac:dyDescent="0.25">
      <c r="AD2760" s="26"/>
    </row>
    <row r="2761" spans="30:30" ht="20.25" customHeight="1" x14ac:dyDescent="0.25">
      <c r="AD2761" s="26"/>
    </row>
    <row r="2762" spans="30:30" ht="20.25" customHeight="1" x14ac:dyDescent="0.25">
      <c r="AD2762" s="26"/>
    </row>
    <row r="2763" spans="30:30" ht="20.25" customHeight="1" x14ac:dyDescent="0.25">
      <c r="AD2763" s="26"/>
    </row>
    <row r="2764" spans="30:30" ht="20.25" customHeight="1" x14ac:dyDescent="0.25">
      <c r="AD2764" s="26"/>
    </row>
    <row r="2765" spans="30:30" ht="20.25" customHeight="1" x14ac:dyDescent="0.25">
      <c r="AD2765" s="26"/>
    </row>
    <row r="2766" spans="30:30" ht="20.25" customHeight="1" x14ac:dyDescent="0.25">
      <c r="AD2766" s="26"/>
    </row>
    <row r="2767" spans="30:30" ht="20.25" customHeight="1" x14ac:dyDescent="0.25">
      <c r="AD2767" s="26"/>
    </row>
    <row r="2768" spans="30:30" ht="20.25" customHeight="1" x14ac:dyDescent="0.25">
      <c r="AD2768" s="26"/>
    </row>
    <row r="2769" spans="30:30" ht="20.25" customHeight="1" x14ac:dyDescent="0.25">
      <c r="AD2769" s="26"/>
    </row>
    <row r="2770" spans="30:30" ht="20.25" customHeight="1" x14ac:dyDescent="0.25">
      <c r="AD2770" s="26"/>
    </row>
    <row r="2771" spans="30:30" ht="20.25" customHeight="1" x14ac:dyDescent="0.25">
      <c r="AD2771" s="26"/>
    </row>
    <row r="2772" spans="30:30" ht="20.25" customHeight="1" x14ac:dyDescent="0.25">
      <c r="AD2772" s="26"/>
    </row>
    <row r="2773" spans="30:30" ht="20.25" customHeight="1" x14ac:dyDescent="0.25">
      <c r="AD2773" s="26"/>
    </row>
    <row r="2774" spans="30:30" ht="20.25" customHeight="1" x14ac:dyDescent="0.25">
      <c r="AD2774" s="26"/>
    </row>
    <row r="2775" spans="30:30" ht="20.25" customHeight="1" x14ac:dyDescent="0.25">
      <c r="AD2775" s="26"/>
    </row>
    <row r="2776" spans="30:30" ht="20.25" customHeight="1" x14ac:dyDescent="0.25">
      <c r="AD2776" s="26"/>
    </row>
    <row r="2777" spans="30:30" ht="20.25" customHeight="1" x14ac:dyDescent="0.25">
      <c r="AD2777" s="26"/>
    </row>
    <row r="2778" spans="30:30" ht="20.25" customHeight="1" x14ac:dyDescent="0.25">
      <c r="AD2778" s="26"/>
    </row>
    <row r="2779" spans="30:30" ht="20.25" customHeight="1" x14ac:dyDescent="0.25">
      <c r="AD2779" s="26"/>
    </row>
    <row r="2780" spans="30:30" ht="20.25" customHeight="1" x14ac:dyDescent="0.25">
      <c r="AD2780" s="26"/>
    </row>
    <row r="2781" spans="30:30" ht="20.25" customHeight="1" x14ac:dyDescent="0.25">
      <c r="AD2781" s="26"/>
    </row>
    <row r="2782" spans="30:30" ht="20.25" customHeight="1" x14ac:dyDescent="0.25">
      <c r="AD2782" s="26"/>
    </row>
    <row r="2783" spans="30:30" ht="20.25" customHeight="1" x14ac:dyDescent="0.25">
      <c r="AD2783" s="26"/>
    </row>
    <row r="2784" spans="30:30" ht="20.25" customHeight="1" x14ac:dyDescent="0.25">
      <c r="AD2784" s="26"/>
    </row>
    <row r="2785" spans="30:30" ht="20.25" customHeight="1" x14ac:dyDescent="0.25">
      <c r="AD2785" s="26"/>
    </row>
    <row r="2786" spans="30:30" ht="20.25" customHeight="1" x14ac:dyDescent="0.25">
      <c r="AD2786" s="26"/>
    </row>
    <row r="2787" spans="30:30" ht="20.25" customHeight="1" x14ac:dyDescent="0.25">
      <c r="AD2787" s="26"/>
    </row>
    <row r="2788" spans="30:30" ht="20.25" customHeight="1" x14ac:dyDescent="0.25">
      <c r="AD2788" s="26"/>
    </row>
    <row r="2789" spans="30:30" ht="20.25" customHeight="1" x14ac:dyDescent="0.25">
      <c r="AD2789" s="26"/>
    </row>
    <row r="2790" spans="30:30" ht="20.25" customHeight="1" x14ac:dyDescent="0.25">
      <c r="AD2790" s="26"/>
    </row>
    <row r="2791" spans="30:30" ht="20.25" customHeight="1" x14ac:dyDescent="0.25">
      <c r="AD2791" s="26"/>
    </row>
    <row r="2792" spans="30:30" ht="20.25" customHeight="1" x14ac:dyDescent="0.25">
      <c r="AD2792" s="26"/>
    </row>
    <row r="2793" spans="30:30" ht="20.25" customHeight="1" x14ac:dyDescent="0.25">
      <c r="AD2793" s="26"/>
    </row>
    <row r="2794" spans="30:30" ht="20.25" customHeight="1" x14ac:dyDescent="0.25">
      <c r="AD2794" s="26"/>
    </row>
    <row r="2795" spans="30:30" ht="20.25" customHeight="1" x14ac:dyDescent="0.25">
      <c r="AD2795" s="26"/>
    </row>
    <row r="2796" spans="30:30" ht="20.25" customHeight="1" x14ac:dyDescent="0.25">
      <c r="AD2796" s="26"/>
    </row>
    <row r="2797" spans="30:30" ht="20.25" customHeight="1" x14ac:dyDescent="0.25">
      <c r="AD2797" s="26"/>
    </row>
    <row r="2798" spans="30:30" ht="20.25" customHeight="1" x14ac:dyDescent="0.25">
      <c r="AD2798" s="26"/>
    </row>
    <row r="2799" spans="30:30" ht="20.25" customHeight="1" x14ac:dyDescent="0.25">
      <c r="AD2799" s="26"/>
    </row>
    <row r="2800" spans="30:30" ht="20.25" customHeight="1" x14ac:dyDescent="0.25">
      <c r="AD2800" s="26"/>
    </row>
    <row r="2801" spans="30:30" ht="20.25" customHeight="1" x14ac:dyDescent="0.25">
      <c r="AD2801" s="26"/>
    </row>
    <row r="2802" spans="30:30" ht="20.25" customHeight="1" x14ac:dyDescent="0.25">
      <c r="AD2802" s="26"/>
    </row>
    <row r="2803" spans="30:30" ht="20.25" customHeight="1" x14ac:dyDescent="0.25">
      <c r="AD2803" s="26"/>
    </row>
    <row r="2804" spans="30:30" ht="20.25" customHeight="1" x14ac:dyDescent="0.25">
      <c r="AD2804" s="26"/>
    </row>
    <row r="2805" spans="30:30" ht="20.25" customHeight="1" x14ac:dyDescent="0.25">
      <c r="AD2805" s="26"/>
    </row>
    <row r="2806" spans="30:30" ht="20.25" customHeight="1" x14ac:dyDescent="0.25">
      <c r="AD2806" s="26"/>
    </row>
    <row r="2807" spans="30:30" ht="20.25" customHeight="1" x14ac:dyDescent="0.25">
      <c r="AD2807" s="26"/>
    </row>
    <row r="2808" spans="30:30" ht="20.25" customHeight="1" x14ac:dyDescent="0.25">
      <c r="AD2808" s="26"/>
    </row>
    <row r="2809" spans="30:30" ht="20.25" customHeight="1" x14ac:dyDescent="0.25">
      <c r="AD2809" s="26"/>
    </row>
    <row r="2810" spans="30:30" ht="20.25" customHeight="1" x14ac:dyDescent="0.25">
      <c r="AD2810" s="26"/>
    </row>
    <row r="2811" spans="30:30" ht="20.25" customHeight="1" x14ac:dyDescent="0.25">
      <c r="AD2811" s="26"/>
    </row>
    <row r="2812" spans="30:30" ht="20.25" customHeight="1" x14ac:dyDescent="0.25">
      <c r="AD2812" s="26"/>
    </row>
    <row r="2813" spans="30:30" ht="20.25" customHeight="1" x14ac:dyDescent="0.25">
      <c r="AD2813" s="26"/>
    </row>
    <row r="2814" spans="30:30" ht="20.25" customHeight="1" x14ac:dyDescent="0.25">
      <c r="AD2814" s="26"/>
    </row>
    <row r="2815" spans="30:30" ht="20.25" customHeight="1" x14ac:dyDescent="0.25">
      <c r="AD2815" s="26"/>
    </row>
    <row r="2816" spans="30:30" ht="20.25" customHeight="1" x14ac:dyDescent="0.25">
      <c r="AD2816" s="26"/>
    </row>
    <row r="2817" spans="30:30" ht="20.25" customHeight="1" x14ac:dyDescent="0.25">
      <c r="AD2817" s="26"/>
    </row>
    <row r="2818" spans="30:30" ht="20.25" customHeight="1" x14ac:dyDescent="0.25">
      <c r="AD2818" s="26"/>
    </row>
    <row r="2819" spans="30:30" ht="20.25" customHeight="1" x14ac:dyDescent="0.25">
      <c r="AD2819" s="26"/>
    </row>
    <row r="2820" spans="30:30" ht="20.25" customHeight="1" x14ac:dyDescent="0.25">
      <c r="AD2820" s="26"/>
    </row>
    <row r="2821" spans="30:30" ht="20.25" customHeight="1" x14ac:dyDescent="0.25">
      <c r="AD2821" s="26"/>
    </row>
    <row r="2822" spans="30:30" ht="20.25" customHeight="1" x14ac:dyDescent="0.25">
      <c r="AD2822" s="26"/>
    </row>
    <row r="2823" spans="30:30" ht="20.25" customHeight="1" x14ac:dyDescent="0.25">
      <c r="AD2823" s="26"/>
    </row>
    <row r="2824" spans="30:30" ht="20.25" customHeight="1" x14ac:dyDescent="0.25">
      <c r="AD2824" s="26"/>
    </row>
    <row r="2825" spans="30:30" ht="20.25" customHeight="1" x14ac:dyDescent="0.25">
      <c r="AD2825" s="26"/>
    </row>
    <row r="2826" spans="30:30" ht="20.25" customHeight="1" x14ac:dyDescent="0.25">
      <c r="AD2826" s="26"/>
    </row>
    <row r="2827" spans="30:30" ht="20.25" customHeight="1" x14ac:dyDescent="0.25">
      <c r="AD2827" s="26"/>
    </row>
    <row r="2828" spans="30:30" ht="20.25" customHeight="1" x14ac:dyDescent="0.25">
      <c r="AD2828" s="26"/>
    </row>
    <row r="2829" spans="30:30" ht="20.25" customHeight="1" x14ac:dyDescent="0.25">
      <c r="AD2829" s="26"/>
    </row>
    <row r="2830" spans="30:30" ht="20.25" customHeight="1" x14ac:dyDescent="0.25">
      <c r="AD2830" s="26"/>
    </row>
    <row r="2831" spans="30:30" ht="20.25" customHeight="1" x14ac:dyDescent="0.25">
      <c r="AD2831" s="26"/>
    </row>
    <row r="2832" spans="30:30" ht="20.25" customHeight="1" x14ac:dyDescent="0.25">
      <c r="AD2832" s="26"/>
    </row>
    <row r="2833" spans="30:30" ht="20.25" customHeight="1" x14ac:dyDescent="0.25">
      <c r="AD2833" s="26"/>
    </row>
    <row r="2834" spans="30:30" ht="20.25" customHeight="1" x14ac:dyDescent="0.25">
      <c r="AD2834" s="26"/>
    </row>
    <row r="2835" spans="30:30" ht="20.25" customHeight="1" x14ac:dyDescent="0.25">
      <c r="AD2835" s="26"/>
    </row>
    <row r="2836" spans="30:30" ht="20.25" customHeight="1" x14ac:dyDescent="0.25">
      <c r="AD2836" s="26"/>
    </row>
    <row r="2837" spans="30:30" ht="20.25" customHeight="1" x14ac:dyDescent="0.25">
      <c r="AD2837" s="26"/>
    </row>
    <row r="2838" spans="30:30" ht="20.25" customHeight="1" x14ac:dyDescent="0.25">
      <c r="AD2838" s="26"/>
    </row>
    <row r="2839" spans="30:30" ht="20.25" customHeight="1" x14ac:dyDescent="0.25">
      <c r="AD2839" s="26"/>
    </row>
    <row r="2840" spans="30:30" ht="20.25" customHeight="1" x14ac:dyDescent="0.25">
      <c r="AD2840" s="26"/>
    </row>
    <row r="2841" spans="30:30" ht="20.25" customHeight="1" x14ac:dyDescent="0.25">
      <c r="AD2841" s="26"/>
    </row>
    <row r="2842" spans="30:30" ht="20.25" customHeight="1" x14ac:dyDescent="0.25">
      <c r="AD2842" s="26"/>
    </row>
    <row r="2843" spans="30:30" ht="20.25" customHeight="1" x14ac:dyDescent="0.25">
      <c r="AD2843" s="26"/>
    </row>
    <row r="2844" spans="30:30" ht="20.25" customHeight="1" x14ac:dyDescent="0.25">
      <c r="AD2844" s="26"/>
    </row>
    <row r="2845" spans="30:30" ht="20.25" customHeight="1" x14ac:dyDescent="0.25">
      <c r="AD2845" s="26"/>
    </row>
    <row r="2846" spans="30:30" ht="20.25" customHeight="1" x14ac:dyDescent="0.25">
      <c r="AD2846" s="26"/>
    </row>
    <row r="2847" spans="30:30" ht="20.25" customHeight="1" x14ac:dyDescent="0.25">
      <c r="AD2847" s="26"/>
    </row>
    <row r="2848" spans="30:30" ht="20.25" customHeight="1" x14ac:dyDescent="0.25">
      <c r="AD2848" s="26"/>
    </row>
    <row r="2849" spans="30:30" ht="20.25" customHeight="1" x14ac:dyDescent="0.25">
      <c r="AD2849" s="26"/>
    </row>
    <row r="2850" spans="30:30" ht="20.25" customHeight="1" x14ac:dyDescent="0.25">
      <c r="AD2850" s="26"/>
    </row>
    <row r="2851" spans="30:30" ht="20.25" customHeight="1" x14ac:dyDescent="0.25">
      <c r="AD2851" s="26"/>
    </row>
    <row r="2852" spans="30:30" ht="20.25" customHeight="1" x14ac:dyDescent="0.25">
      <c r="AD2852" s="26"/>
    </row>
    <row r="2853" spans="30:30" ht="20.25" customHeight="1" x14ac:dyDescent="0.25">
      <c r="AD2853" s="26"/>
    </row>
    <row r="2854" spans="30:30" ht="20.25" customHeight="1" x14ac:dyDescent="0.25">
      <c r="AD2854" s="26"/>
    </row>
    <row r="2855" spans="30:30" ht="20.25" customHeight="1" x14ac:dyDescent="0.25">
      <c r="AD2855" s="26"/>
    </row>
    <row r="2856" spans="30:30" ht="20.25" customHeight="1" x14ac:dyDescent="0.25">
      <c r="AD2856" s="26"/>
    </row>
    <row r="2857" spans="30:30" ht="20.25" customHeight="1" x14ac:dyDescent="0.25">
      <c r="AD2857" s="26"/>
    </row>
  </sheetData>
  <sheetProtection sheet="1" objects="1" scenarios="1"/>
  <sortState xmlns:xlrd2="http://schemas.microsoft.com/office/spreadsheetml/2017/richdata2" ref="T6:W85">
    <sortCondition descending="1" ref="U6"/>
    <sortCondition descending="1" ref="V6"/>
    <sortCondition descending="1" ref="W6"/>
  </sortState>
  <mergeCells count="21">
    <mergeCell ref="B3:D3"/>
    <mergeCell ref="E3:G3"/>
    <mergeCell ref="H3:J3"/>
    <mergeCell ref="K3:M3"/>
    <mergeCell ref="B2:M2"/>
    <mergeCell ref="B27:M27"/>
    <mergeCell ref="B53:D53"/>
    <mergeCell ref="E53:G53"/>
    <mergeCell ref="H53:J53"/>
    <mergeCell ref="K53:M53"/>
    <mergeCell ref="B28:D28"/>
    <mergeCell ref="E28:G28"/>
    <mergeCell ref="H28:J28"/>
    <mergeCell ref="K28:M28"/>
    <mergeCell ref="B52:M52"/>
    <mergeCell ref="R5:S5"/>
    <mergeCell ref="R1:X1"/>
    <mergeCell ref="R2:X2"/>
    <mergeCell ref="R4:S4"/>
    <mergeCell ref="R3:X3"/>
    <mergeCell ref="U4:W4"/>
  </mergeCells>
  <phoneticPr fontId="0" type="noConversion"/>
  <pageMargins left="0.75" right="0.75" top="1" bottom="1" header="0.5" footer="0.5"/>
  <pageSetup orientation="landscape" r:id="rId1"/>
  <headerFooter>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sweet">
                <anchor moveWithCells="1" sizeWithCells="1">
                  <from>
                    <xdr:col>15</xdr:col>
                    <xdr:colOff>876300</xdr:colOff>
                    <xdr:row>4</xdr:row>
                    <xdr:rowOff>190500</xdr:rowOff>
                  </from>
                  <to>
                    <xdr:col>15</xdr:col>
                    <xdr:colOff>2621280</xdr:colOff>
                    <xdr:row>6</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EBF-0002-4E9C-A6EB-C03E4E408DD0}">
  <sheetPr codeName="Sheet4"/>
  <dimension ref="A1:B6"/>
  <sheetViews>
    <sheetView tabSelected="1" workbookViewId="0">
      <selection activeCell="B16" sqref="B16"/>
      <extLst>
        <ext xmlns:xlsdti="http://schemas.microsoft.com/office/spreadsheetml/2023/showDataTypeIcons" uri="{77bfe23e-c014-4d31-8a63-9c772dbf06b6}">
          <xlsdti:showDataTypeIcons visible="0"/>
        </ext>
      </extLst>
    </sheetView>
  </sheetViews>
  <sheetFormatPr defaultRowHeight="13.2" x14ac:dyDescent="0.25"/>
  <cols>
    <col min="1" max="1" width="1.33203125" customWidth="1"/>
    <col min="2" max="2" width="112.6640625" customWidth="1"/>
  </cols>
  <sheetData>
    <row r="1" spans="1:2" ht="29.4" thickTop="1" thickBot="1" x14ac:dyDescent="0.3">
      <c r="A1" s="79"/>
      <c r="B1" s="154" t="s">
        <v>169</v>
      </c>
    </row>
    <row r="2" spans="1:2" ht="14.4" thickTop="1" thickBot="1" x14ac:dyDescent="0.3">
      <c r="A2" s="79"/>
      <c r="B2" s="137"/>
    </row>
    <row r="3" spans="1:2" ht="16.2" thickTop="1" x14ac:dyDescent="0.25">
      <c r="A3" s="63"/>
      <c r="B3" s="138" t="s">
        <v>166</v>
      </c>
    </row>
    <row r="4" spans="1:2" ht="34.200000000000003" customHeight="1" x14ac:dyDescent="0.25">
      <c r="A4" s="63"/>
      <c r="B4" s="115" t="s">
        <v>170</v>
      </c>
    </row>
    <row r="5" spans="1:2" ht="20.399999999999999" customHeight="1" x14ac:dyDescent="0.25">
      <c r="A5" s="63"/>
      <c r="B5" s="140"/>
    </row>
    <row r="6" spans="1:2" x14ac:dyDescent="0.25">
      <c r="A6" s="139"/>
      <c r="B6" s="1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BA3CF456D23424E983FC6A3CFD89728" ma:contentTypeVersion="13" ma:contentTypeDescription="Create a new document." ma:contentTypeScope="" ma:versionID="05868a9f6affae1f3165cb649b767eb4">
  <xsd:schema xmlns:xsd="http://www.w3.org/2001/XMLSchema" xmlns:xs="http://www.w3.org/2001/XMLSchema" xmlns:p="http://schemas.microsoft.com/office/2006/metadata/properties" xmlns:ns2="dc5ac352-bb47-4e5b-b08c-2c11a4c8ba70" xmlns:ns3="4dbcd07c-0eed-4f47-a0fc-743daa0b3a2b" targetNamespace="http://schemas.microsoft.com/office/2006/metadata/properties" ma:root="true" ma:fieldsID="143e7bf8a6439f939fa65a19489a1739" ns2:_="" ns3:_="">
    <xsd:import namespace="dc5ac352-bb47-4e5b-b08c-2c11a4c8ba70"/>
    <xsd:import namespace="4dbcd07c-0eed-4f47-a0fc-743daa0b3a2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BillingMetadata"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5ac352-bb47-4e5b-b08c-2c11a4c8ba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da59523-cae3-4a93-ad14-9717a5d9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BillingMetadata" ma:index="18" nillable="true" ma:displayName="MediaServiceBillingMetadata" ma:hidden="true" ma:internalName="MediaServiceBillingMetadata" ma:readOnly="true">
      <xsd:simpleType>
        <xsd:restriction base="dms:Note"/>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dbcd07c-0eed-4f47-a0fc-743daa0b3a2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33c2426-80c4-4bc0-8c42-9b0ed55b1fa4}" ma:internalName="TaxCatchAll" ma:showField="CatchAllData" ma:web="4dbcd07c-0eed-4f47-a0fc-743daa0b3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4dbcd07c-0eed-4f47-a0fc-743daa0b3a2b" xsi:nil="true"/>
    <lcf76f155ced4ddcb4097134ff3c332f xmlns="dc5ac352-bb47-4e5b-b08c-2c11a4c8ba7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061891-55F4-4749-9514-C21D88C2A15C}"/>
</file>

<file path=customXml/itemProps2.xml><?xml version="1.0" encoding="utf-8"?>
<ds:datastoreItem xmlns:ds="http://schemas.openxmlformats.org/officeDocument/2006/customXml" ds:itemID="{380A83D6-F144-4902-8A1A-18FB8CD89D85}">
  <ds:schemaRefs>
    <ds:schemaRef ds:uri="http://purl.org/dc/elements/1.1/"/>
    <ds:schemaRef ds:uri="http://schemas.microsoft.com/office/2006/documentManagement/types"/>
    <ds:schemaRef ds:uri="http://www.w3.org/XML/1998/namespace"/>
    <ds:schemaRef ds:uri="http://schemas.microsoft.com/office/2006/metadata/properties"/>
    <ds:schemaRef ds:uri="http://purl.org/dc/terms/"/>
    <ds:schemaRef ds:uri="http://purl.org/dc/dcmitype/"/>
    <ds:schemaRef ds:uri="7caf78fb-f71c-4a6f-8d9d-8e46613456e0"/>
    <ds:schemaRef ds:uri="http://schemas.microsoft.com/office/infopath/2007/PartnerControls"/>
    <ds:schemaRef ds:uri="http://schemas.openxmlformats.org/package/2006/metadata/core-properties"/>
    <ds:schemaRef ds:uri="0bfdc619-4bd5-4a26-8e37-4be4446dc23a"/>
    <ds:schemaRef ds:uri="48f12688-8fd6-47b2-a22c-5b60723771af"/>
  </ds:schemaRefs>
</ds:datastoreItem>
</file>

<file path=customXml/itemProps3.xml><?xml version="1.0" encoding="utf-8"?>
<ds:datastoreItem xmlns:ds="http://schemas.openxmlformats.org/officeDocument/2006/customXml" ds:itemID="{D17EE1DC-307F-44FB-95E4-4ED3E9A711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Team Data</vt:lpstr>
      <vt:lpstr>Scoring Worksheet</vt:lpstr>
      <vt:lpstr>Score Entry And Standings</vt:lpstr>
      <vt:lpstr>Ref Scoresheet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Berger, Karen T. (LARC-D328)</dc:creator>
  <cp:lastModifiedBy>Anna Sterner</cp:lastModifiedBy>
  <cp:lastPrinted>2022-06-27T18:52:38Z</cp:lastPrinted>
  <dcterms:created xsi:type="dcterms:W3CDTF">2000-07-05T13:58:20Z</dcterms:created>
  <dcterms:modified xsi:type="dcterms:W3CDTF">2026-07-27T18:43:30Z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0x0101007BA3CF456D23424E983FC6A3CFD89728</vt:lpwstr>
  </property>
  <property fmtid="{D5CDD505-2E9C-101B-9397-08002B2CF9AE}" pid="3" name="MediaServiceImageTags">
    <vt:lpwstr/>
  </property>
</Properties>
</file>